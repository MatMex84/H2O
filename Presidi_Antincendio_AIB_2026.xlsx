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40dee6d6d847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i GIS" sheetId="1" r:id="Rf795a60f19264d10"/>
    <x:sheet xmlns:r="http://schemas.openxmlformats.org/officeDocument/2006/relationships" name="Riepilogo" sheetId="2" r:id="R0f52b8862a9144d0"/>
    <x:sheet xmlns:r="http://schemas.openxmlformats.org/officeDocument/2006/relationships" name="Fonti" sheetId="3" r:id="Re12bfdb5f29d4bea"/>
    <x:sheet xmlns:r="http://schemas.openxmlformats.org/officeDocument/2006/relationships" name="Note e campi" sheetId="4" r:id="R93abcf00db454d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yyyy-mm-dd"/>
    <x:numFmt numFmtId="202" formatCode="0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6"/>
      <x:color rgb="FFFFFFFF"/>
      <x:name val="Carlito"/>
    </x:font>
    <x:font>
      <x:b/>
      <x:sz val="11"/>
      <x:color rgb="FF1F4E3D"/>
      <x:name val="Carlito"/>
    </x:font>
    <x:font>
      <x:b/>
      <x:sz val="13"/>
      <x:color rgb="FF1F2937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DDEBE5"/>
      </x:patternFill>
    </x:fill>
    <x:fill>
      <x:patternFill patternType="solid">
        <x:fgColor rgb="FFF4F8F6"/>
      </x:patternFill>
    </x:fill>
  </x:fills>
  <x:borders count="5">
    <x:border/>
    <x:border>
      <x:bottom style="thin">
        <x:color rgb="FFDCE5E1"/>
      </x:bottom>
    </x:border>
    <x:border>
      <x:top style="thin">
        <x:color rgb="FFDCE5E1"/>
      </x:top>
      <x:bottom style="thin">
        <x:color rgb="FFDCE5E1"/>
      </x:bottom>
    </x:border>
    <x:border>
      <x:top style="thin">
        <x:color rgb="FFDCE5E1"/>
      </x:top>
      <x:bottom style="thin">
        <x:color rgb="FFAABAB3"/>
      </x:bottom>
    </x:border>
    <x:border>
      <x:top style="thin">
        <x:color rgb="FFDCE5E1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  <x:xf numFmtId="201" fontId="2" fillId="0" borderId="0" xfId="0" applyNumberFormat="1" applyFont="1" applyFill="1" applyBorder="1" applyAlignment="1">
      <x:alignment vertical="top"/>
    </x:xf>
    <x:xf numFmtId="202" fontId="2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/>
    </x:xf>
    <x:xf numFmtId="200" fontId="2" fillId="0" borderId="2" xfId="0" applyNumberFormat="1" applyFont="1" applyFill="1" applyBorder="1" applyAlignment="1">
      <x:alignment vertical="top"/>
    </x:xf>
    <x:xf numFmtId="201" fontId="2" fillId="0" borderId="2" xfId="0" applyNumberFormat="1" applyFont="1" applyFill="1" applyBorder="1" applyAlignment="1">
      <x:alignment vertical="top"/>
    </x:xf>
    <x:xf numFmtId="202" fontId="2" fillId="0" borderId="2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/>
    </x:xf>
    <x:xf numFmtId="200" fontId="2" fillId="0" borderId="3" xfId="0" applyNumberFormat="1" applyFont="1" applyFill="1" applyBorder="1" applyAlignment="1">
      <x:alignment vertical="top"/>
    </x:xf>
    <x:xf numFmtId="201" fontId="2" fillId="0" borderId="3" xfId="0" applyNumberFormat="1" applyFont="1" applyFill="1" applyBorder="1" applyAlignment="1">
      <x:alignment vertical="top"/>
    </x:xf>
    <x:xf numFmtId="202" fontId="2" fillId="0" borderId="3" xfId="0" applyNumberFormat="1" applyFont="1" applyFill="1" applyBorder="1" applyAlignment="1">
      <x:alignment vertical="top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201" fontId="2" fillId="0" borderId="2" xfId="0" applyNumberFormat="1" applyFont="1" applyFill="1" applyBorder="1" applyAlignment="1">
      <x:alignment vertical="top" wrapText="1"/>
    </x:xf>
    <x:xf numFmtId="202" fontId="2" fillId="0" borderId="2" xfId="0" applyNumberFormat="1" applyFont="1" applyFill="1" applyBorder="1" applyAlignment="1">
      <x:alignment vertical="top" wrapText="1"/>
    </x:xf>
    <x:xf numFmtId="201" fontId="2" fillId="0" borderId="3" xfId="0" applyNumberFormat="1" applyFont="1" applyFill="1" applyBorder="1" applyAlignment="1">
      <x:alignment vertical="top" wrapText="1"/>
    </x:xf>
    <x:xf numFmtId="202" fontId="2" fillId="0" borderId="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a939922af246c4" /><Relationship Type="http://schemas.openxmlformats.org/officeDocument/2006/relationships/theme" Target="/xl/theme/theme1.xml" Id="Re8a726201b0b41b0" /><Relationship Type="http://schemas.openxmlformats.org/officeDocument/2006/relationships/sharedStrings" Target="/xl/sharedStrings.xml" Id="R2e065f42c8264108" /><Relationship Type="http://schemas.openxmlformats.org/officeDocument/2006/relationships/worksheet" Target="/xl/worksheets/sheet1.xml" Id="Rf795a60f19264d10" /><Relationship Type="http://schemas.openxmlformats.org/officeDocument/2006/relationships/worksheet" Target="/xl/worksheets/sheet2.xml" Id="R0f52b8862a9144d0" /><Relationship Type="http://schemas.openxmlformats.org/officeDocument/2006/relationships/worksheet" Target="/xl/worksheets/sheet3.xml" Id="Re12bfdb5f29d4bea" /><Relationship Type="http://schemas.openxmlformats.org/officeDocument/2006/relationships/worksheet" Target="/xl/worksheets/sheet4.xml" Id="R93abcf00db454d63" /></Relationships>
</file>

<file path=xl/tables/table1.xml><?xml version="1.0" encoding="utf-8"?>
<x:table xmlns:x="http://schemas.openxmlformats.org/spreadsheetml/2006/main" id="1" name="PresidiAIBTable" displayName="PresidiAIBTable" ref="A1:W60" headerRowCount="1" totalsRowCount="0" totalsRowShown="0">
  <x:tableColumns count="23">
    <x:tableColumn id="1" name="id"/>
    <x:tableColumn id="2" name="comune"/>
    <x:tableColumn id="3" name="tipologia_presidio"/>
    <x:tableColumn id="4" name="denominazione"/>
    <x:tableColumn id="5" name="proprietario"/>
    <x:tableColumn id="6" name="custodia"/>
    <x:tableColumn id="7" name="referente"/>
    <x:tableColumn id="8" name="contatto"/>
    <x:tableColumn id="9" name="latitudine_wgs84"/>
    <x:tableColumn id="10" name="longitudine_wgs84"/>
    <x:tableColumn id="11" name="coordinate_originali"/>
    <x:tableColumn id="12" name="crs"/>
    <x:tableColumn id="13" name="link_google_maps"/>
    <x:tableColumn id="14" name="localita"/>
    <x:tableColumn id="15" name="data_controllo"/>
    <x:tableColumn id="16" name="stato_note_efficienza"/>
    <x:tableColumn id="17" name="provvedimento_piano"/>
    <x:tableColumn id="18" name="data_provvedimento"/>
    <x:tableColumn id="19" name="diametro_tubazione_mm"/>
    <x:tableColumn id="20" name="fonte_coordinate"/>
    <x:tableColumn id="21" name="file_fonte"/>
    <x:tableColumn id="22" name="pagina_fonte"/>
    <x:tableColumn id="23" name="note_estrazion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RiepilogoComuniTable" displayName="RiepilogoComuniTable" ref="A7:F25" headerRowCount="1" totalsRowCount="0" totalsRowShown="0">
  <x:tableColumns count="6">
    <x:tableColumn id="1" name="Comune"/>
    <x:tableColumn id="2" name="Presidi"/>
    <x:tableColumn id="3" name="Coordinate complete"/>
    <x:tableColumn id="4" name="Da link Google Maps"/>
    <x:tableColumn id="5" name="Senza data controllo"/>
    <x:tableColumn id="6" name="Con note di efficienza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ontiPDFTable" displayName="FontiPDFTable" ref="A1:D19" headerRowCount="1" totalsRowCount="0" totalsRowShown="0">
  <x:tableColumns count="4">
    <x:tableColumn id="1" name="file_fonte"/>
    <x:tableColumn id="2" name="percorso_cartella"/>
    <x:tableColumn id="3" name="pagine_pdf"/>
    <x:tableColumn id="4" name="record_estratti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127bb0f4fe4b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5d073345764c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27b56c4137241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40" hidden="0" customWidth="1"/>
    <x:col min="5" max="5" width="30" hidden="0" customWidth="1"/>
    <x:col min="6" max="6" width="14" hidden="0" customWidth="1"/>
    <x:col min="7" max="7" width="26" hidden="0" customWidth="1"/>
    <x:col min="8" max="8" width="16" hidden="0" customWidth="1"/>
    <x:col min="9" max="9" width="18" hidden="0" customWidth="1"/>
    <x:col min="10" max="10" width="19" hidden="0" customWidth="1"/>
    <x:col min="11" max="11" width="31" hidden="0" customWidth="1"/>
    <x:col min="12" max="12" width="20" hidden="0" customWidth="1"/>
    <x:col min="13" max="13" width="40" hidden="0" customWidth="1"/>
    <x:col min="14" max="14" width="45" hidden="0" customWidth="1"/>
    <x:col min="15" max="15" width="16" hidden="0" customWidth="1"/>
    <x:col min="16" max="16" width="30" hidden="0" customWidth="1"/>
    <x:col min="17" max="17" width="38" hidden="0" customWidth="1"/>
    <x:col min="18" max="18" width="18" hidden="0" customWidth="1"/>
    <x:col min="19" max="19" width="20" hidden="0" customWidth="1"/>
    <x:col min="20" max="20" width="40" hidden="0" customWidth="1"/>
    <x:col min="21" max="21" width="54" hidden="0" customWidth="1"/>
    <x:col min="22" max="22" width="13" hidden="0" customWidth="1"/>
    <x:col min="23" max="23" width="52" hidden="0" customWidth="1"/>
  </x:cols>
  <x:sheetData>
    <x:row r="1" ht="34" customHeight="1">
      <x:c r="A1" s="10" t="str">
        <x:v>id</x:v>
      </x:c>
      <x:c r="B1" s="10" t="str">
        <x:v>comune</x:v>
      </x:c>
      <x:c r="C1" s="10" t="str">
        <x:v>tipologia_presidio</x:v>
      </x:c>
      <x:c r="D1" s="10" t="str">
        <x:v>denominazione</x:v>
      </x:c>
      <x:c r="E1" s="10" t="str">
        <x:v>proprietario</x:v>
      </x:c>
      <x:c r="F1" s="10" t="str">
        <x:v>custodia</x:v>
      </x:c>
      <x:c r="G1" s="10" t="str">
        <x:v>referente</x:v>
      </x:c>
      <x:c r="H1" s="10" t="str">
        <x:v>contatto</x:v>
      </x:c>
      <x:c r="I1" s="10" t="str">
        <x:v>latitudine_wgs84</x:v>
      </x:c>
      <x:c r="J1" s="10" t="str">
        <x:v>longitudine_wgs84</x:v>
      </x:c>
      <x:c r="K1" s="10" t="str">
        <x:v>coordinate_originali</x:v>
      </x:c>
      <x:c r="L1" s="10" t="str">
        <x:v>crs</x:v>
      </x:c>
      <x:c r="M1" s="10" t="str">
        <x:v>link_google_maps</x:v>
      </x:c>
      <x:c r="N1" s="10" t="str">
        <x:v>localita</x:v>
      </x:c>
      <x:c r="O1" s="10" t="str">
        <x:v>data_controllo</x:v>
      </x:c>
      <x:c r="P1" s="10" t="str">
        <x:v>stato_note_efficienza</x:v>
      </x:c>
      <x:c r="Q1" s="10" t="str">
        <x:v>provvedimento_piano</x:v>
      </x:c>
      <x:c r="R1" s="10" t="str">
        <x:v>data_provvedimento</x:v>
      </x:c>
      <x:c r="S1" s="10" t="str">
        <x:v>diametro_tubazione_mm</x:v>
      </x:c>
      <x:c r="T1" s="10" t="str">
        <x:v>fonte_coordinate</x:v>
      </x:c>
      <x:c r="U1" s="10" t="str">
        <x:v>file_fonte</x:v>
      </x:c>
      <x:c r="V1" s="10" t="str">
        <x:v>pagina_fonte</x:v>
      </x:c>
      <x:c r="W1" s="10" t="str">
        <x:v>note_estrazione</x:v>
      </x:c>
    </x:row>
    <x:row r="2">
      <x:c r="A2" s="11" t="str">
        <x:v>AIB-001</x:v>
      </x:c>
      <x:c r="B2" s="11" t="str">
        <x:v>Guardia Sanframondi</x:v>
      </x:c>
      <x:c r="C2" s="19" t="str">
        <x:v>Idrante stradale</x:v>
      </x:c>
      <x:c r="D2" s="19" t="str"/>
      <x:c r="E2" s="19" t="str">
        <x:v>Comune di Guardia Sanframondi</x:v>
      </x:c>
      <x:c r="F2" s="19" t="str">
        <x:v>Incustodito</x:v>
      </x:c>
      <x:c r="G2" s="19" t="str"/>
      <x:c r="H2" s="19" t="str"/>
      <x:c r="I2" s="12" t="n">
        <x:v>41.254892</x:v>
      </x:c>
      <x:c r="J2" s="12" t="n">
        <x:v>14.59772</x:v>
      </x:c>
      <x:c r="K2" s="19" t="str">
        <x:v>41.254892, 14.597720</x:v>
      </x:c>
      <x:c r="L2" s="19" t="str">
        <x:v>EPSG:4326 - WGS84</x:v>
      </x:c>
      <x:c r="M2" s="19" t="str"/>
      <x:c r="N2" s="19" t="str">
        <x:v>Via Croce, Guardia Sanframondi</x:v>
      </x:c>
      <x:c r="O2" s="21"/>
      <x:c r="P2" s="19" t="str"/>
      <x:c r="Q2" s="19" t="str"/>
      <x:c r="R2" s="21"/>
      <x:c r="S2" s="22"/>
      <x:c r="T2" s="19" t="str">
        <x:v>Coordinate riportate nel PDF</x:v>
      </x:c>
      <x:c r="U2" s="19" t="str">
        <x:v>Presidi Antincendio aggiornati 2026 - Comune Guardia Sanframondi.pdf</x:v>
      </x:c>
      <x:c r="V2" s="19" t="str">
        <x:v>2</x:v>
      </x:c>
      <x:c r="W2" s="19" t="str"/>
    </x:row>
    <x:row r="3">
      <x:c r="A3" s="11" t="str">
        <x:v>AIB-002</x:v>
      </x:c>
      <x:c r="B3" s="11" t="str">
        <x:v>Guardia Sanframondi</x:v>
      </x:c>
      <x:c r="C3" s="19" t="str">
        <x:v>Idrante stradale</x:v>
      </x:c>
      <x:c r="D3" s="19" t="str"/>
      <x:c r="E3" s="19" t="str">
        <x:v>Comune di Guardia Sanframondi</x:v>
      </x:c>
      <x:c r="F3" s="19" t="str">
        <x:v>Incustodito</x:v>
      </x:c>
      <x:c r="G3" s="19" t="str"/>
      <x:c r="H3" s="19" t="str"/>
      <x:c r="I3" s="12" t="n">
        <x:v>41.254641</x:v>
      </x:c>
      <x:c r="J3" s="12" t="n">
        <x:v>14.597929</x:v>
      </x:c>
      <x:c r="K3" s="19" t="str">
        <x:v>41.254641, 14.597929</x:v>
      </x:c>
      <x:c r="L3" s="19" t="str">
        <x:v>EPSG:4326 - WGS84</x:v>
      </x:c>
      <x:c r="M3" s="19" t="str"/>
      <x:c r="N3" s="19" t="str">
        <x:v>Via Croce, Guardia Sanframondi</x:v>
      </x:c>
      <x:c r="O3" s="21"/>
      <x:c r="P3" s="19" t="str"/>
      <x:c r="Q3" s="19" t="str"/>
      <x:c r="R3" s="21"/>
      <x:c r="S3" s="22"/>
      <x:c r="T3" s="19" t="str">
        <x:v>Coordinate riportate nel PDF</x:v>
      </x:c>
      <x:c r="U3" s="19" t="str">
        <x:v>Presidi Antincendio aggiornati 2026 - Comune Guardia Sanframondi.pdf</x:v>
      </x:c>
      <x:c r="V3" s="19" t="str">
        <x:v>2</x:v>
      </x:c>
      <x:c r="W3" s="19" t="str"/>
    </x:row>
    <x:row r="4">
      <x:c r="A4" s="11" t="str">
        <x:v>AIB-003</x:v>
      </x:c>
      <x:c r="B4" s="11" t="str">
        <x:v>Bucciano</x:v>
      </x:c>
      <x:c r="C4" s="19" t="str"/>
      <x:c r="D4" s="19" t="str">
        <x:v>Via Centrale nei pressi del Monumento ai Caduti</x:v>
      </x:c>
      <x:c r="E4" s="19" t="str">
        <x:v>Comune di Bucciano</x:v>
      </x:c>
      <x:c r="F4" s="19" t="str">
        <x:v>Incustodito</x:v>
      </x:c>
      <x:c r="G4" s="19" t="str"/>
      <x:c r="H4" s="19" t="str"/>
      <x:c r="I4" s="12" t="n">
        <x:v>41.076797222222226</x:v>
      </x:c>
      <x:c r="J4" s="12" t="n">
        <x:v>14.570994444444445</x:v>
      </x:c>
      <x:c r="K4" s="19" t="str">
        <x:v>41°04'36,47" N; 14°34'15,58" E</x:v>
      </x:c>
      <x:c r="L4" s="19" t="str">
        <x:v>EPSG:4326 - WGS84</x:v>
      </x:c>
      <x:c r="M4" s="19" t="str"/>
      <x:c r="N4" s="19" t="str">
        <x:v>Bucciano (BN)</x:v>
      </x:c>
      <x:c r="O4" s="21" t="n">
        <x:v>46022.5</x:v>
      </x:c>
      <x:c r="P4" s="19" t="str"/>
      <x:c r="Q4" s="19" t="str">
        <x:v>D.C.C. n. 15 del 30/12/2015</x:v>
      </x:c>
      <x:c r="R4" s="21" t="n">
        <x:v>42368.5</x:v>
      </x:c>
      <x:c r="S4" s="22"/>
      <x:c r="T4" s="19" t="str">
        <x:v>Coordinate riportate nel PDF</x:v>
      </x:c>
      <x:c r="U4" s="19" t="str">
        <x:v>Presidi Antincendio aggiornati 2026 - Comune di Bucciano.pdf</x:v>
      </x:c>
      <x:c r="V4" s="19" t="str">
        <x:v>2</x:v>
      </x:c>
      <x:c r="W4" s="19" t="str">
        <x:v>La tipologia specifica non è compilata nel modello; la denominazione identifica l'ubicazione.</x:v>
      </x:c>
    </x:row>
    <x:row r="5">
      <x:c r="A5" s="11" t="str">
        <x:v>AIB-004</x:v>
      </x:c>
      <x:c r="B5" s="11" t="str">
        <x:v>Colle Sannita</x:v>
      </x:c>
      <x:c r="C5" s="19" t="str">
        <x:v>Lago artificiale</x:v>
      </x:c>
      <x:c r="D5" s="19" t="str">
        <x:v>Lago artificiale di Decorata</x:v>
      </x:c>
      <x:c r="E5" s="19" t="str">
        <x:v>Colonia Decorata</x:v>
      </x:c>
      <x:c r="F5" s="19" t="str">
        <x:v>Incustodito</x:v>
      </x:c>
      <x:c r="G5" s="19" t="str"/>
      <x:c r="H5" s="19" t="str"/>
      <x:c r="I5" s="12" t="n">
        <x:v>41.420759</x:v>
      </x:c>
      <x:c r="J5" s="12" t="n">
        <x:v>14.874227</x:v>
      </x:c>
      <x:c r="K5" s="19" t="str">
        <x:v>41,420759° N; 14,874227° E</x:v>
      </x:c>
      <x:c r="L5" s="19" t="str">
        <x:v>EPSG:4326 - WGS84</x:v>
      </x:c>
      <x:c r="M5" s="19" t="str"/>
      <x:c r="N5" s="19" t="str">
        <x:v>Frazione di Decorata</x:v>
      </x:c>
      <x:c r="O5" s="21"/>
      <x:c r="P5" s="19" t="str"/>
      <x:c r="Q5" s="19" t="str">
        <x:v>D.C.C. n. 35 del 22/12/2016</x:v>
      </x:c>
      <x:c r="R5" s="21" t="n">
        <x:v>42726.5</x:v>
      </x:c>
      <x:c r="S5" s="22"/>
      <x:c r="T5" s="19" t="str">
        <x:v>Coordinate riportate nel PDF</x:v>
      </x:c>
      <x:c r="U5" s="19" t="str">
        <x:v>Presidi Antincendio aggiornati 2026 Comune di Colle Sannita.pdf</x:v>
      </x:c>
      <x:c r="V5" s="19" t="str">
        <x:v>1</x:v>
      </x:c>
      <x:c r="W5" s="19" t="str"/>
    </x:row>
    <x:row r="6">
      <x:c r="A6" s="11" t="str">
        <x:v>AIB-005</x:v>
      </x:c>
      <x:c r="B6" s="11" t="str">
        <x:v>Colle Sannita</x:v>
      </x:c>
      <x:c r="C6" s="19" t="str">
        <x:v>Serbatoio acqua potabile</x:v>
      </x:c>
      <x:c r="D6" s="19" t="str">
        <x:v>Serbatoio acqua potabile</x:v>
      </x:c>
      <x:c r="E6" s="19" t="str">
        <x:v>Comune di Colle Sannita</x:v>
      </x:c>
      <x:c r="F6" s="19" t="str">
        <x:v>Custodito</x:v>
      </x:c>
      <x:c r="G6" s="19" t="str">
        <x:v>GESESA</x:v>
      </x:c>
      <x:c r="H6" s="19" t="str">
        <x:v>3423146582</x:v>
      </x:c>
      <x:c r="I6" s="12" t="n">
        <x:v>41.358988</x:v>
      </x:c>
      <x:c r="J6" s="12" t="n">
        <x:v>14.831179</x:v>
      </x:c>
      <x:c r="K6" s="19" t="str">
        <x:v>41,358988° N; 14,831179° E</x:v>
      </x:c>
      <x:c r="L6" s="19" t="str">
        <x:v>EPSG:4326 - WGS84</x:v>
      </x:c>
      <x:c r="M6" s="19" t="str"/>
      <x:c r="N6" s="19" t="str">
        <x:v>Via Napoli - SP100</x:v>
      </x:c>
      <x:c r="O6" s="21"/>
      <x:c r="P6" s="19" t="str"/>
      <x:c r="Q6" s="19" t="str">
        <x:v>D.C.C. n. 35 del 22/12/2016</x:v>
      </x:c>
      <x:c r="R6" s="21" t="n">
        <x:v>42726.5</x:v>
      </x:c>
      <x:c r="S6" s="22"/>
      <x:c r="T6" s="19" t="str">
        <x:v>Coordinate riportate nel PDF</x:v>
      </x:c>
      <x:c r="U6" s="19" t="str">
        <x:v>Presidi Antincendio aggiornati 2026 Comune di Colle Sannita.pdf</x:v>
      </x:c>
      <x:c r="V6" s="19" t="str">
        <x:v>1</x:v>
      </x:c>
      <x:c r="W6" s="19" t="str">
        <x:v>Nel PDF il provvedimento è indicato con '===', interpretato come uguale al precedente.</x:v>
      </x:c>
    </x:row>
    <x:row r="7">
      <x:c r="A7" s="11" t="str">
        <x:v>AIB-006</x:v>
      </x:c>
      <x:c r="B7" s="11" t="str">
        <x:v>Colle Sannita</x:v>
      </x:c>
      <x:c r="C7" s="19" t="str">
        <x:v>Serbatoio acqua potabile</x:v>
      </x:c>
      <x:c r="D7" s="19" t="str">
        <x:v>Serbatoio acqua potabile</x:v>
      </x:c>
      <x:c r="E7" s="19" t="str">
        <x:v>Comune di Colle Sannita</x:v>
      </x:c>
      <x:c r="F7" s="19" t="str">
        <x:v>Custodito</x:v>
      </x:c>
      <x:c r="G7" s="19" t="str">
        <x:v>GESESA</x:v>
      </x:c>
      <x:c r="H7" s="19" t="str">
        <x:v>3423146582</x:v>
      </x:c>
      <x:c r="I7" s="12" t="n">
        <x:v>41.358185</x:v>
      </x:c>
      <x:c r="J7" s="12" t="n">
        <x:v>14.829814</x:v>
      </x:c>
      <x:c r="K7" s="19" t="str">
        <x:v>41,358185° N; 14,829814° E</x:v>
      </x:c>
      <x:c r="L7" s="19" t="str">
        <x:v>EPSG:4326 - WGS84</x:v>
      </x:c>
      <x:c r="M7" s="19" t="str"/>
      <x:c r="N7" s="19" t="str">
        <x:v>Via Benevento - Contrada Montagna</x:v>
      </x:c>
      <x:c r="O7" s="21"/>
      <x:c r="P7" s="19" t="str"/>
      <x:c r="Q7" s="19" t="str">
        <x:v>D.C.C. n. 35 del 22/12/2016</x:v>
      </x:c>
      <x:c r="R7" s="21" t="n">
        <x:v>42726.5</x:v>
      </x:c>
      <x:c r="S7" s="22"/>
      <x:c r="T7" s="19" t="str">
        <x:v>Coordinate riportate nel PDF</x:v>
      </x:c>
      <x:c r="U7" s="19" t="str">
        <x:v>Presidi Antincendio aggiornati 2026 Comune di Colle Sannita.pdf</x:v>
      </x:c>
      <x:c r="V7" s="19" t="str">
        <x:v>2</x:v>
      </x:c>
      <x:c r="W7" s="19" t="str">
        <x:v>Nel PDF il provvedimento è indicato con '===', interpretato come uguale al precedente.</x:v>
      </x:c>
    </x:row>
    <x:row r="8">
      <x:c r="A8" s="11" t="str">
        <x:v>AIB-007</x:v>
      </x:c>
      <x:c r="B8" s="11" t="str">
        <x:v>Colle Sannita</x:v>
      </x:c>
      <x:c r="C8" s="19" t="str">
        <x:v>Serbatoio acqua potabile</x:v>
      </x:c>
      <x:c r="D8" s="19" t="str">
        <x:v>Serbatoio acqua potabile</x:v>
      </x:c>
      <x:c r="E8" s="19" t="str">
        <x:v>Comune di Colle Sannita</x:v>
      </x:c>
      <x:c r="F8" s="19" t="str">
        <x:v>Custodito</x:v>
      </x:c>
      <x:c r="G8" s="19" t="str">
        <x:v>GESESA</x:v>
      </x:c>
      <x:c r="H8" s="19" t="str">
        <x:v>3423146582</x:v>
      </x:c>
      <x:c r="I8" s="12" t="n">
        <x:v>41.386719</x:v>
      </x:c>
      <x:c r="J8" s="12" t="n">
        <x:v>14.849594</x:v>
      </x:c>
      <x:c r="K8" s="19" t="str">
        <x:v>41,386719° N; 14,849594° E</x:v>
      </x:c>
      <x:c r="L8" s="19" t="str">
        <x:v>EPSG:4326 - WGS84</x:v>
      </x:c>
      <x:c r="M8" s="19" t="str"/>
      <x:c r="N8" s="19" t="str">
        <x:v>Contrada Impiso</x:v>
      </x:c>
      <x:c r="O8" s="21"/>
      <x:c r="P8" s="19" t="str"/>
      <x:c r="Q8" s="19" t="str">
        <x:v>D.C.C. n. 35 del 22/12/2016</x:v>
      </x:c>
      <x:c r="R8" s="21" t="n">
        <x:v>42726.5</x:v>
      </x:c>
      <x:c r="S8" s="22"/>
      <x:c r="T8" s="19" t="str">
        <x:v>Coordinate riportate nel PDF</x:v>
      </x:c>
      <x:c r="U8" s="19" t="str">
        <x:v>Presidi Antincendio aggiornati 2026 Comune di Colle Sannita.pdf</x:v>
      </x:c>
      <x:c r="V8" s="19" t="str">
        <x:v>2</x:v>
      </x:c>
      <x:c r="W8" s="19" t="str">
        <x:v>Nel PDF il provvedimento è indicato con '===', interpretato come uguale al precedente.</x:v>
      </x:c>
    </x:row>
    <x:row r="9">
      <x:c r="A9" s="11" t="str">
        <x:v>AIB-008</x:v>
      </x:c>
      <x:c r="B9" s="11" t="str">
        <x:v>Colle Sannita</x:v>
      </x:c>
      <x:c r="C9" s="19" t="str">
        <x:v>Serbatoio acqua potabile</x:v>
      </x:c>
      <x:c r="D9" s="19" t="str">
        <x:v>Serbatoio acqua potabile</x:v>
      </x:c>
      <x:c r="E9" s="19" t="str">
        <x:v>Regione Campania</x:v>
      </x:c>
      <x:c r="F9" s="19" t="str">
        <x:v>Custodito</x:v>
      </x:c>
      <x:c r="G9" s="19" t="str">
        <x:v>Molise Acque</x:v>
      </x:c>
      <x:c r="H9" s="19" t="str">
        <x:v>08744201</x:v>
      </x:c>
      <x:c r="I9" s="12" t="n">
        <x:v>41.376355</x:v>
      </x:c>
      <x:c r="J9" s="12" t="n">
        <x:v>14.844239</x:v>
      </x:c>
      <x:c r="K9" s="19" t="str">
        <x:v>41,376355° N; 14,844239° E</x:v>
      </x:c>
      <x:c r="L9" s="19" t="str">
        <x:v>EPSG:4326 - WGS84</x:v>
      </x:c>
      <x:c r="M9" s="19" t="str"/>
      <x:c r="N9" s="19" t="str">
        <x:v>Contrada Crocella</x:v>
      </x:c>
      <x:c r="O9" s="21"/>
      <x:c r="P9" s="19" t="str"/>
      <x:c r="Q9" s="19" t="str">
        <x:v>D.C.C. n. 35 del 22/12/2016</x:v>
      </x:c>
      <x:c r="R9" s="21" t="n">
        <x:v>42726.5</x:v>
      </x:c>
      <x:c r="S9" s="22"/>
      <x:c r="T9" s="19" t="str">
        <x:v>Coordinate riportate nel PDF</x:v>
      </x:c>
      <x:c r="U9" s="19" t="str">
        <x:v>Presidi Antincendio aggiornati 2026 Comune di Colle Sannita.pdf</x:v>
      </x:c>
      <x:c r="V9" s="19" t="str">
        <x:v>3</x:v>
      </x:c>
      <x:c r="W9" s="19" t="str">
        <x:v>Nel PDF il provvedimento è indicato con '===', interpretato come uguale al precedente.</x:v>
      </x:c>
    </x:row>
    <x:row r="10">
      <x:c r="A10" s="11" t="str">
        <x:v>AIB-009</x:v>
      </x:c>
      <x:c r="B10" s="11" t="str">
        <x:v>Colle Sannita</x:v>
      </x:c>
      <x:c r="C10" s="19" t="str">
        <x:v>Serbatoio acqua potabile</x:v>
      </x:c>
      <x:c r="D10" s="19" t="str">
        <x:v>Serbatoio acqua potabile</x:v>
      </x:c>
      <x:c r="E10" s="19" t="str">
        <x:v>Comune di Colle Sannita</x:v>
      </x:c>
      <x:c r="F10" s="19" t="str">
        <x:v>Custodito</x:v>
      </x:c>
      <x:c r="G10" s="19" t="str">
        <x:v>GESESA</x:v>
      </x:c>
      <x:c r="H10" s="19" t="str">
        <x:v>3423146582</x:v>
      </x:c>
      <x:c r="I10" s="12" t="n">
        <x:v>41.378134</x:v>
      </x:c>
      <x:c r="J10" s="12" t="n">
        <x:v>14.882257</x:v>
      </x:c>
      <x:c r="K10" s="19" t="str">
        <x:v>41,378134° N; 14,882257° E</x:v>
      </x:c>
      <x:c r="L10" s="19" t="str">
        <x:v>EPSG:4326 - WGS84</x:v>
      </x:c>
      <x:c r="M10" s="19" t="str"/>
      <x:c r="N10" s="19" t="str">
        <x:v>Contrada Moscia</x:v>
      </x:c>
      <x:c r="O10" s="21"/>
      <x:c r="P10" s="19" t="str"/>
      <x:c r="Q10" s="19" t="str">
        <x:v>D.C.C. n. 35 del 22/12/2016</x:v>
      </x:c>
      <x:c r="R10" s="21" t="n">
        <x:v>42726.5</x:v>
      </x:c>
      <x:c r="S10" s="22"/>
      <x:c r="T10" s="19" t="str">
        <x:v>Coordinate riportate nel PDF</x:v>
      </x:c>
      <x:c r="U10" s="19" t="str">
        <x:v>Presidi Antincendio aggiornati 2026 Comune di Colle Sannita.pdf</x:v>
      </x:c>
      <x:c r="V10" s="19" t="str">
        <x:v>3</x:v>
      </x:c>
      <x:c r="W10" s="19" t="str">
        <x:v>Nel PDF il provvedimento è indicato con '===', interpretato come uguale al precedente.</x:v>
      </x:c>
    </x:row>
    <x:row r="11">
      <x:c r="A11" s="11" t="str">
        <x:v>AIB-010</x:v>
      </x:c>
      <x:c r="B11" s="11" t="str">
        <x:v>Colle Sannita</x:v>
      </x:c>
      <x:c r="C11" s="19" t="str">
        <x:v>Idrante stradale sottosuolo</x:v>
      </x:c>
      <x:c r="D11" s="19" t="str">
        <x:v>Idrante stradale sottosuolo</x:v>
      </x:c>
      <x:c r="E11" s="19" t="str">
        <x:v>Comune di Colle Sannita</x:v>
      </x:c>
      <x:c r="F11" s="19" t="str">
        <x:v>Custodito</x:v>
      </x:c>
      <x:c r="G11" s="19" t="str">
        <x:v>GESESA</x:v>
      </x:c>
      <x:c r="H11" s="19" t="str">
        <x:v>3423146582</x:v>
      </x:c>
      <x:c r="I11" s="12" t="n">
        <x:v>41.364571</x:v>
      </x:c>
      <x:c r="J11" s="12" t="n">
        <x:v>14.833106</x:v>
      </x:c>
      <x:c r="K11" s="19" t="str">
        <x:v>41,364571° N; 14,833106° E</x:v>
      </x:c>
      <x:c r="L11" s="19" t="str">
        <x:v>EPSG:4326 - WGS84</x:v>
      </x:c>
      <x:c r="M11" s="19" t="str"/>
      <x:c r="N11" s="19" t="str">
        <x:v>Piazza Giuseppe Flora, adiacente alla Fontana</x:v>
      </x:c>
      <x:c r="O11" s="21"/>
      <x:c r="P11" s="19" t="str"/>
      <x:c r="Q11" s="19" t="str">
        <x:v>D.C.C. n. 35 del 22/12/2016</x:v>
      </x:c>
      <x:c r="R11" s="21" t="n">
        <x:v>42726.5</x:v>
      </x:c>
      <x:c r="S11" s="22"/>
      <x:c r="T11" s="19" t="str">
        <x:v>Coordinate riportate nel PDF</x:v>
      </x:c>
      <x:c r="U11" s="19" t="str">
        <x:v>Presidi Antincendio aggiornati 2026 Comune di Colle Sannita.pdf</x:v>
      </x:c>
      <x:c r="V11" s="19" t="str">
        <x:v>3</x:v>
      </x:c>
      <x:c r="W11" s="19" t="str">
        <x:v>Nel PDF il provvedimento è indicato con '===', interpretato come uguale al precedente.</x:v>
      </x:c>
    </x:row>
    <x:row r="12">
      <x:c r="A12" s="11" t="str">
        <x:v>AIB-011</x:v>
      </x:c>
      <x:c r="B12" s="11" t="str">
        <x:v>Colle Sannita</x:v>
      </x:c>
      <x:c r="C12" s="19" t="str">
        <x:v>Idrante stradale sottosuolo</x:v>
      </x:c>
      <x:c r="D12" s="19" t="str">
        <x:v>Idrante stradale sottosuolo</x:v>
      </x:c>
      <x:c r="E12" s="19" t="str">
        <x:v>Comune di Colle Sannita</x:v>
      </x:c>
      <x:c r="F12" s="19" t="str">
        <x:v>Custodito</x:v>
      </x:c>
      <x:c r="G12" s="19" t="str">
        <x:v>GESESA</x:v>
      </x:c>
      <x:c r="H12" s="19" t="str">
        <x:v>3423146582</x:v>
      </x:c>
      <x:c r="I12" s="12" t="n">
        <x:v>41.364552</x:v>
      </x:c>
      <x:c r="J12" s="12" t="n">
        <x:v>14.833132</x:v>
      </x:c>
      <x:c r="K12" s="19" t="str">
        <x:v>41,364552° N; 14,833132° E</x:v>
      </x:c>
      <x:c r="L12" s="19" t="str">
        <x:v>EPSG:4326 - WGS84</x:v>
      </x:c>
      <x:c r="M12" s="19" t="str"/>
      <x:c r="N12" s="19" t="str">
        <x:v>Piazza Giuseppe Flora, adiacente alla Fontana</x:v>
      </x:c>
      <x:c r="O12" s="21"/>
      <x:c r="P12" s="19" t="str"/>
      <x:c r="Q12" s="19" t="str">
        <x:v>D.C.C. n. 35 del 22/12/2016</x:v>
      </x:c>
      <x:c r="R12" s="21" t="n">
        <x:v>42726.5</x:v>
      </x:c>
      <x:c r="S12" s="22"/>
      <x:c r="T12" s="19" t="str">
        <x:v>Coordinate riportate nel PDF</x:v>
      </x:c>
      <x:c r="U12" s="19" t="str">
        <x:v>Presidi Antincendio aggiornati 2026 Comune di Colle Sannita.pdf</x:v>
      </x:c>
      <x:c r="V12" s="19" t="str">
        <x:v>4</x:v>
      </x:c>
      <x:c r="W12" s="19" t="str">
        <x:v>Nel PDF il provvedimento è indicato con '===', interpretato come uguale al precedente.</x:v>
      </x:c>
    </x:row>
    <x:row r="13">
      <x:c r="A13" s="11" t="str">
        <x:v>AIB-012</x:v>
      </x:c>
      <x:c r="B13" s="11" t="str">
        <x:v>Colle Sannita</x:v>
      </x:c>
      <x:c r="C13" s="19" t="str">
        <x:v>Idrante stradale sottosuolo</x:v>
      </x:c>
      <x:c r="D13" s="19" t="str">
        <x:v>Idrante stradale sottosuolo</x:v>
      </x:c>
      <x:c r="E13" s="19" t="str">
        <x:v>Comune di Colle Sannita</x:v>
      </x:c>
      <x:c r="F13" s="19" t="str">
        <x:v>Custodito</x:v>
      </x:c>
      <x:c r="G13" s="19" t="str">
        <x:v>GESESA</x:v>
      </x:c>
      <x:c r="H13" s="19" t="str">
        <x:v>3423146582</x:v>
      </x:c>
      <x:c r="I13" s="12" t="n">
        <x:v>41.362885</x:v>
      </x:c>
      <x:c r="J13" s="12" t="n">
        <x:v>14.83414</x:v>
      </x:c>
      <x:c r="K13" s="19" t="str">
        <x:v>41,362885° N; 14,834140° E</x:v>
      </x:c>
      <x:c r="L13" s="19" t="str">
        <x:v>EPSG:4326 - WGS84</x:v>
      </x:c>
      <x:c r="M13" s="19" t="str"/>
      <x:c r="N13" s="19" t="str">
        <x:v>Corso Umberto I</x:v>
      </x:c>
      <x:c r="O13" s="21"/>
      <x:c r="P13" s="19" t="str"/>
      <x:c r="Q13" s="19" t="str">
        <x:v>D.C.C. n. 35 del 22/12/2016</x:v>
      </x:c>
      <x:c r="R13" s="21" t="n">
        <x:v>42726.5</x:v>
      </x:c>
      <x:c r="S13" s="22"/>
      <x:c r="T13" s="19" t="str">
        <x:v>Coordinate riportate nel PDF</x:v>
      </x:c>
      <x:c r="U13" s="19" t="str">
        <x:v>Presidi Antincendio aggiornati 2026 Comune di Colle Sannita.pdf</x:v>
      </x:c>
      <x:c r="V13" s="19" t="str">
        <x:v>4</x:v>
      </x:c>
      <x:c r="W13" s="19" t="str">
        <x:v>Nel PDF il provvedimento è indicato con '===', interpretato come uguale al precedente.</x:v>
      </x:c>
    </x:row>
    <x:row r="14">
      <x:c r="A14" s="11" t="str">
        <x:v>AIB-013</x:v>
      </x:c>
      <x:c r="B14" s="11" t="str">
        <x:v>Colle Sannita</x:v>
      </x:c>
      <x:c r="C14" s="19" t="str">
        <x:v>Idrante stradale sottosuolo</x:v>
      </x:c>
      <x:c r="D14" s="19" t="str">
        <x:v>Idrante stradale sottosuolo</x:v>
      </x:c>
      <x:c r="E14" s="19" t="str">
        <x:v>Comune di Colle Sannita</x:v>
      </x:c>
      <x:c r="F14" s="19" t="str">
        <x:v>Custodito</x:v>
      </x:c>
      <x:c r="G14" s="19" t="str">
        <x:v>GESESA</x:v>
      </x:c>
      <x:c r="H14" s="19" t="str">
        <x:v>3423146582</x:v>
      </x:c>
      <x:c r="I14" s="12" t="n">
        <x:v>41.359829</x:v>
      </x:c>
      <x:c r="J14" s="12" t="n">
        <x:v>14.833188</x:v>
      </x:c>
      <x:c r="K14" s="19" t="str">
        <x:v>41,359829° N; 14,833188° E</x:v>
      </x:c>
      <x:c r="L14" s="19" t="str">
        <x:v>EPSG:4326 - WGS84</x:v>
      </x:c>
      <x:c r="M14" s="19" t="str"/>
      <x:c r="N14" s="19" t="str">
        <x:v>Via Giuseppe Garibaldi - Via dei Mille</x:v>
      </x:c>
      <x:c r="O14" s="21"/>
      <x:c r="P14" s="19" t="str"/>
      <x:c r="Q14" s="19" t="str">
        <x:v>D.C.C. n. 35 del 22/12/2016</x:v>
      </x:c>
      <x:c r="R14" s="21" t="n">
        <x:v>42726.5</x:v>
      </x:c>
      <x:c r="S14" s="22"/>
      <x:c r="T14" s="19" t="str">
        <x:v>Coordinate riportate nel PDF</x:v>
      </x:c>
      <x:c r="U14" s="19" t="str">
        <x:v>Presidi Antincendio aggiornati 2026 Comune di Colle Sannita.pdf</x:v>
      </x:c>
      <x:c r="V14" s="19" t="str">
        <x:v>5</x:v>
      </x:c>
      <x:c r="W14" s="19" t="str">
        <x:v>Nel PDF il provvedimento è indicato con '===', interpretato come uguale al precedente.</x:v>
      </x:c>
    </x:row>
    <x:row r="15">
      <x:c r="A15" s="11" t="str">
        <x:v>AIB-014</x:v>
      </x:c>
      <x:c r="B15" s="11" t="str">
        <x:v>Colle Sannita</x:v>
      </x:c>
      <x:c r="C15" s="19" t="str">
        <x:v>Idrante stradale sottosuolo</x:v>
      </x:c>
      <x:c r="D15" s="19" t="str">
        <x:v>Idrante stradale sottosuolo</x:v>
      </x:c>
      <x:c r="E15" s="19" t="str">
        <x:v>Comune di Colle Sannita</x:v>
      </x:c>
      <x:c r="F15" s="19" t="str">
        <x:v>Custodito</x:v>
      </x:c>
      <x:c r="G15" s="19" t="str">
        <x:v>GESESA</x:v>
      </x:c>
      <x:c r="H15" s="19" t="str">
        <x:v>3423146582</x:v>
      </x:c>
      <x:c r="I15" s="12" t="n">
        <x:v>41.410846</x:v>
      </x:c>
      <x:c r="J15" s="12" t="n">
        <x:v>14.879826</x:v>
      </x:c>
      <x:c r="K15" s="19" t="str">
        <x:v>41,410846° N; 14,879826° E</x:v>
      </x:c>
      <x:c r="L15" s="19" t="str">
        <x:v>EPSG:4326 - WGS84</x:v>
      </x:c>
      <x:c r="M15" s="19" t="str"/>
      <x:c r="N15" s="19" t="str">
        <x:v>Piazza di Decorata (Frazione di Decorata)</x:v>
      </x:c>
      <x:c r="O15" s="21"/>
      <x:c r="P15" s="19" t="str"/>
      <x:c r="Q15" s="19" t="str">
        <x:v>D.C.C. n. 35 del 22/12/2016</x:v>
      </x:c>
      <x:c r="R15" s="21" t="n">
        <x:v>42726.5</x:v>
      </x:c>
      <x:c r="S15" s="22"/>
      <x:c r="T15" s="19" t="str">
        <x:v>Coordinate riportate nel PDF</x:v>
      </x:c>
      <x:c r="U15" s="19" t="str">
        <x:v>Presidi Antincendio aggiornati 2026 Comune di Colle Sannita.pdf</x:v>
      </x:c>
      <x:c r="V15" s="19" t="str">
        <x:v>5</x:v>
      </x:c>
      <x:c r="W15" s="19" t="str">
        <x:v>Nel PDF il provvedimento è indicato con '===', interpretato come uguale al precedente.</x:v>
      </x:c>
    </x:row>
    <x:row r="16">
      <x:c r="A16" s="11" t="str">
        <x:v>AIB-015</x:v>
      </x:c>
      <x:c r="B16" s="11" t="str">
        <x:v>Colle Sannita</x:v>
      </x:c>
      <x:c r="C16" s="19" t="str">
        <x:v>Idrante stradale sottosuolo</x:v>
      </x:c>
      <x:c r="D16" s="19" t="str">
        <x:v>Idrante stradale sottosuolo</x:v>
      </x:c>
      <x:c r="E16" s="19" t="str">
        <x:v>Comune di Colle Sannita</x:v>
      </x:c>
      <x:c r="F16" s="19" t="str">
        <x:v>Custodito</x:v>
      </x:c>
      <x:c r="G16" s="19" t="str">
        <x:v>GESESA</x:v>
      </x:c>
      <x:c r="H16" s="19" t="str">
        <x:v>3423146582</x:v>
      </x:c>
      <x:c r="I16" s="12" t="n">
        <x:v>41.412747</x:v>
      </x:c>
      <x:c r="J16" s="12" t="n">
        <x:v>14.884083</x:v>
      </x:c>
      <x:c r="K16" s="19" t="str">
        <x:v>41,412747° N; 14,884083° E</x:v>
      </x:c>
      <x:c r="L16" s="19" t="str">
        <x:v>EPSG:4326 - WGS84</x:v>
      </x:c>
      <x:c r="M16" s="19" t="str"/>
      <x:c r="N16" s="19" t="str">
        <x:v>Contrada Tolli su SP 52, in prossimità dell'accesso al Cimitero (Frazione di Decorata)</x:v>
      </x:c>
      <x:c r="O16" s="21"/>
      <x:c r="P16" s="19" t="str"/>
      <x:c r="Q16" s="19" t="str">
        <x:v>D.C.C. n. 35 del 22/12/2016</x:v>
      </x:c>
      <x:c r="R16" s="21" t="n">
        <x:v>42726.5</x:v>
      </x:c>
      <x:c r="S16" s="22"/>
      <x:c r="T16" s="19" t="str">
        <x:v>Coordinate riportate nel PDF</x:v>
      </x:c>
      <x:c r="U16" s="19" t="str">
        <x:v>Presidi Antincendio aggiornati 2026 Comune di Colle Sannita.pdf</x:v>
      </x:c>
      <x:c r="V16" s="19" t="str">
        <x:v>5</x:v>
      </x:c>
      <x:c r="W16" s="19" t="str">
        <x:v>Nel PDF il provvedimento è indicato con '===', interpretato come uguale al precedente.</x:v>
      </x:c>
    </x:row>
    <x:row r="17">
      <x:c r="A17" s="11" t="str">
        <x:v>AIB-016</x:v>
      </x:c>
      <x:c r="B17" s="11" t="str">
        <x:v>Colle Sannita</x:v>
      </x:c>
      <x:c r="C17" s="19" t="str">
        <x:v>Idrante stradale sottosuolo</x:v>
      </x:c>
      <x:c r="D17" s="19" t="str">
        <x:v>Idrante stradale sottosuolo</x:v>
      </x:c>
      <x:c r="E17" s="19" t="str">
        <x:v>Comune di Colle Sannita</x:v>
      </x:c>
      <x:c r="F17" s="19" t="str">
        <x:v>Custodito</x:v>
      </x:c>
      <x:c r="G17" s="19" t="str">
        <x:v>GESESA</x:v>
      </x:c>
      <x:c r="H17" s="19" t="str">
        <x:v>3423146582</x:v>
      </x:c>
      <x:c r="I17" s="12" t="n">
        <x:v>41.404966</x:v>
      </x:c>
      <x:c r="J17" s="12" t="n">
        <x:v>14.872245</x:v>
      </x:c>
      <x:c r="K17" s="19" t="str">
        <x:v>41,404966° N; 14,872245° E</x:v>
      </x:c>
      <x:c r="L17" s="19" t="str">
        <x:v>EPSG:4326 - WGS84</x:v>
      </x:c>
      <x:c r="M17" s="19" t="str"/>
      <x:c r="N17" s="19" t="str">
        <x:v>Contrada Piana di Decorata, in prossimità della diramazione della SP 52 dalla SS 212 (Frazione di Decorata)</x:v>
      </x:c>
      <x:c r="O17" s="21"/>
      <x:c r="P17" s="19" t="str"/>
      <x:c r="Q17" s="19" t="str">
        <x:v>D.C.C. n. 35 del 22/12/2016</x:v>
      </x:c>
      <x:c r="R17" s="21" t="n">
        <x:v>42726.5</x:v>
      </x:c>
      <x:c r="S17" s="22"/>
      <x:c r="T17" s="19" t="str">
        <x:v>Coordinate riportate nel PDF</x:v>
      </x:c>
      <x:c r="U17" s="19" t="str">
        <x:v>Presidi Antincendio aggiornati 2026 Comune di Colle Sannita.pdf</x:v>
      </x:c>
      <x:c r="V17" s="19" t="str">
        <x:v>6</x:v>
      </x:c>
      <x:c r="W17" s="19" t="str">
        <x:v>Nel PDF il provvedimento è indicato con '===', interpretato come uguale al precedente.</x:v>
      </x:c>
    </x:row>
    <x:row r="18">
      <x:c r="A18" s="11" t="str">
        <x:v>AIB-017</x:v>
      </x:c>
      <x:c r="B18" s="11" t="str">
        <x:v>Colle Sannita</x:v>
      </x:c>
      <x:c r="C18" s="19" t="str">
        <x:v>Idrante stradale sottosuolo</x:v>
      </x:c>
      <x:c r="D18" s="19" t="str">
        <x:v>Idrante stradale sottosuolo</x:v>
      </x:c>
      <x:c r="E18" s="19" t="str">
        <x:v>Comune di Colle Sannita</x:v>
      </x:c>
      <x:c r="F18" s="19" t="str">
        <x:v>Custodito</x:v>
      </x:c>
      <x:c r="G18" s="19" t="str">
        <x:v>GESESA</x:v>
      </x:c>
      <x:c r="H18" s="19" t="str">
        <x:v>3423146582</x:v>
      </x:c>
      <x:c r="I18" s="12" t="n">
        <x:v>41.408345</x:v>
      </x:c>
      <x:c r="J18" s="12" t="n">
        <x:v>14.894058</x:v>
      </x:c>
      <x:c r="K18" s="19" t="str">
        <x:v>41,408345° N; 14,894058° E</x:v>
      </x:c>
      <x:c r="L18" s="19" t="str">
        <x:v>EPSG:4326 - WGS84</x:v>
      </x:c>
      <x:c r="M18" s="19" t="str"/>
      <x:c r="N18" s="19" t="str">
        <x:v>Contrada Forna, nei pressi dell'ex edificio scolastico (Frazione di Decorata)</x:v>
      </x:c>
      <x:c r="O18" s="21"/>
      <x:c r="P18" s="19" t="str"/>
      <x:c r="Q18" s="19" t="str">
        <x:v>D.C.C. n. 35 del 22/12/2016</x:v>
      </x:c>
      <x:c r="R18" s="21" t="n">
        <x:v>42726.5</x:v>
      </x:c>
      <x:c r="S18" s="22"/>
      <x:c r="T18" s="19" t="str">
        <x:v>Coordinate riportate nel PDF</x:v>
      </x:c>
      <x:c r="U18" s="19" t="str">
        <x:v>Presidi Antincendio aggiornati 2026 Comune di Colle Sannita.pdf</x:v>
      </x:c>
      <x:c r="V18" s="19" t="str">
        <x:v>6</x:v>
      </x:c>
      <x:c r="W18" s="19" t="str">
        <x:v>Nel PDF il provvedimento è indicato con '===', interpretato come uguale al precedente.</x:v>
      </x:c>
    </x:row>
    <x:row r="19">
      <x:c r="A19" s="11" t="str">
        <x:v>AIB-018</x:v>
      </x:c>
      <x:c r="B19" s="11" t="str">
        <x:v>Apollosa</x:v>
      </x:c>
      <x:c r="C19" s="19" t="str">
        <x:v>Idrante soprasuolo</x:v>
      </x:c>
      <x:c r="D19" s="19" t="str">
        <x:v>Idrante 1</x:v>
      </x:c>
      <x:c r="E19" s="19" t="str">
        <x:v>Comune di Apollosa</x:v>
      </x:c>
      <x:c r="F19" s="19" t="str">
        <x:v>Incustodito</x:v>
      </x:c>
      <x:c r="G19" s="19" t="str"/>
      <x:c r="H19" s="19" t="str"/>
      <x:c r="I19" s="12" t="n">
        <x:v>41.094258333333336</x:v>
      </x:c>
      <x:c r="J19" s="12" t="n">
        <x:v>14.70741111111111</x:v>
      </x:c>
      <x:c r="K19" s="19" t="str">
        <x:v>41°5'39,33" N; 14°42'26,68" E</x:v>
      </x:c>
      <x:c r="L19" s="19" t="str">
        <x:v>EPSG:4326 - WGS84</x:v>
      </x:c>
      <x:c r="M19" s="19" t="str"/>
      <x:c r="N19" s="19" t="str">
        <x:v>Piazza della Memoria</x:v>
      </x:c>
      <x:c r="O19" s="21"/>
      <x:c r="P19" s="19" t="str"/>
      <x:c r="Q19" s="19" t="str">
        <x:v>D.C.C. n. 3 del 13/11/2022</x:v>
      </x:c>
      <x:c r="R19" s="21" t="n">
        <x:v>44878.5</x:v>
      </x:c>
      <x:c r="S19" s="22" t="n">
        <x:v>60</x:v>
      </x:c>
      <x:c r="T19" s="19" t="str">
        <x:v>Coordinate riportate nel PDF</x:v>
      </x:c>
      <x:c r="U19" s="19" t="str">
        <x:v>Presidi Antincendio aggiornati al 2026 - Comune di Apollosa.pdf</x:v>
      </x:c>
      <x:c r="V19" s="19" t="str">
        <x:v>1, 3</x:v>
      </x:c>
      <x:c r="W19" s="19" t="str"/>
    </x:row>
    <x:row r="20">
      <x:c r="A20" s="11" t="str">
        <x:v>AIB-019</x:v>
      </x:c>
      <x:c r="B20" s="11" t="str">
        <x:v>Apollosa</x:v>
      </x:c>
      <x:c r="C20" s="19" t="str">
        <x:v>Idrante soprasuolo</x:v>
      </x:c>
      <x:c r="D20" s="19" t="str">
        <x:v>Idrante 2</x:v>
      </x:c>
      <x:c r="E20" s="19" t="str">
        <x:v>Comune di Apollosa</x:v>
      </x:c>
      <x:c r="F20" s="19" t="str">
        <x:v>Incustodito</x:v>
      </x:c>
      <x:c r="G20" s="19" t="str"/>
      <x:c r="H20" s="19" t="str"/>
      <x:c r="I20" s="12" t="n">
        <x:v>41.092422222222226</x:v>
      </x:c>
      <x:c r="J20" s="12" t="n">
        <x:v>14.698444444444444</x:v>
      </x:c>
      <x:c r="K20" s="19" t="str">
        <x:v>41°5'32,72" N; 14°41'54,40" E</x:v>
      </x:c>
      <x:c r="L20" s="19" t="str">
        <x:v>EPSG:4326 - WGS84</x:v>
      </x:c>
      <x:c r="M20" s="19" t="str"/>
      <x:c r="N20" s="19" t="str">
        <x:v>Piazza Coridio Grasso</x:v>
      </x:c>
      <x:c r="O20" s="21"/>
      <x:c r="P20" s="19" t="str"/>
      <x:c r="Q20" s="19" t="str">
        <x:v>D.C.C. n. 3 del 13/11/2022</x:v>
      </x:c>
      <x:c r="R20" s="21" t="n">
        <x:v>44878.5</x:v>
      </x:c>
      <x:c r="S20" s="22" t="n">
        <x:v>100</x:v>
      </x:c>
      <x:c r="T20" s="19" t="str">
        <x:v>Coordinate riportate nel PDF</x:v>
      </x:c>
      <x:c r="U20" s="19" t="str">
        <x:v>Presidi Antincendio aggiornati al 2026 - Comune di Apollosa.pdf</x:v>
      </x:c>
      <x:c r="V20" s="19" t="str">
        <x:v>1, 3</x:v>
      </x:c>
      <x:c r="W20" s="19" t="str"/>
    </x:row>
    <x:row r="21">
      <x:c r="A21" s="11" t="str">
        <x:v>AIB-020</x:v>
      </x:c>
      <x:c r="B21" s="11" t="str">
        <x:v>Apollosa</x:v>
      </x:c>
      <x:c r="C21" s="19" t="str">
        <x:v>Idrante soprasuolo</x:v>
      </x:c>
      <x:c r="D21" s="19" t="str">
        <x:v>Idrante 3</x:v>
      </x:c>
      <x:c r="E21" s="19" t="str">
        <x:v>Comune di Apollosa</x:v>
      </x:c>
      <x:c r="F21" s="19" t="str">
        <x:v>Incustodito</x:v>
      </x:c>
      <x:c r="G21" s="19" t="str"/>
      <x:c r="H21" s="19" t="str"/>
      <x:c r="I21" s="12" t="n">
        <x:v>41.08139166666667</x:v>
      </x:c>
      <x:c r="J21" s="12" t="n">
        <x:v>14.702497222222222</x:v>
      </x:c>
      <x:c r="K21" s="19" t="str">
        <x:v>41°4'53,01" N; 14°42'8,99" E</x:v>
      </x:c>
      <x:c r="L21" s="19" t="str">
        <x:v>EPSG:4326 - WGS84</x:v>
      </x:c>
      <x:c r="M21" s="19" t="str"/>
      <x:c r="N21" s="19" t="str">
        <x:v>SP 92 - Via Pirozzi, Frazione San Giovanni</x:v>
      </x:c>
      <x:c r="O21" s="21"/>
      <x:c r="P21" s="19" t="str"/>
      <x:c r="Q21" s="19" t="str">
        <x:v>D.C.C. n. 3 del 13/11/2022</x:v>
      </x:c>
      <x:c r="R21" s="21" t="n">
        <x:v>44878.5</x:v>
      </x:c>
      <x:c r="S21" s="22" t="n">
        <x:v>60</x:v>
      </x:c>
      <x:c r="T21" s="19" t="str">
        <x:v>Coordinate riportate nel PDF</x:v>
      </x:c>
      <x:c r="U21" s="19" t="str">
        <x:v>Presidi Antincendio aggiornati al 2026 - Comune di Apollosa.pdf</x:v>
      </x:c>
      <x:c r="V21" s="19" t="str">
        <x:v>2, 3</x:v>
      </x:c>
      <x:c r="W21" s="19" t="str"/>
    </x:row>
    <x:row r="22">
      <x:c r="A22" s="11" t="str">
        <x:v>AIB-021</x:v>
      </x:c>
      <x:c r="B22" s="11" t="str">
        <x:v>Bonea</x:v>
      </x:c>
      <x:c r="C22" s="19" t="str">
        <x:v>Idrante stradale</x:v>
      </x:c>
      <x:c r="D22" s="19" t="str">
        <x:v>Idrante stradale</x:v>
      </x:c>
      <x:c r="E22" s="19" t="str">
        <x:v>Comune di Bonea</x:v>
      </x:c>
      <x:c r="F22" s="19" t="str">
        <x:v>Incustodito</x:v>
      </x:c>
      <x:c r="G22" s="19" t="str">
        <x:v>Arch. Izzo Salvatore</x:v>
      </x:c>
      <x:c r="H22" s="19" t="str">
        <x:v>3283255197</x:v>
      </x:c>
      <x:c r="I22" s="12" t="n">
        <x:v>41.07460555555556</x:v>
      </x:c>
      <x:c r="J22" s="12" t="n">
        <x:v>14.621466666666667</x:v>
      </x:c>
      <x:c r="K22" s="19" t="str">
        <x:v>41°04'28,58" N; 14°37'17,28" E</x:v>
      </x:c>
      <x:c r="L22" s="19" t="str">
        <x:v>EPSG:4326 - WGS84</x:v>
      </x:c>
      <x:c r="M22" s="19" t="str"/>
      <x:c r="N22" s="19" t="str">
        <x:v>Via Carre (rotatoria)</x:v>
      </x:c>
      <x:c r="O22" s="21" t="n">
        <x:v>45681.5</x:v>
      </x:c>
      <x:c r="P22" s="19" t="str"/>
      <x:c r="Q22" s="19" t="str">
        <x:v>D.C.C. n. 15 del 30/11/2020</x:v>
      </x:c>
      <x:c r="R22" s="21" t="n">
        <x:v>44165.5</x:v>
      </x:c>
      <x:c r="S22" s="22"/>
      <x:c r="T22" s="19" t="str">
        <x:v>Coordinate riportate nel PDF</x:v>
      </x:c>
      <x:c r="U22" s="19" t="str">
        <x:v>Presidi Antincendio aggiornati al 2026 - Comune di Bonea.pdf</x:v>
      </x:c>
      <x:c r="V22" s="19" t="str">
        <x:v>1</x:v>
      </x:c>
      <x:c r="W22" s="19" t="str"/>
    </x:row>
    <x:row r="23">
      <x:c r="A23" s="11" t="str">
        <x:v>AIB-022</x:v>
      </x:c>
      <x:c r="B23" s="11" t="str">
        <x:v>Bonea</x:v>
      </x:c>
      <x:c r="C23" s="19" t="str">
        <x:v>Idrante stradale</x:v>
      </x:c>
      <x:c r="D23" s="19" t="str">
        <x:v>Idrante stradale</x:v>
      </x:c>
      <x:c r="E23" s="19" t="str">
        <x:v>Comune di Bonea</x:v>
      </x:c>
      <x:c r="F23" s="19" t="str">
        <x:v>Incustodito</x:v>
      </x:c>
      <x:c r="G23" s="19" t="str">
        <x:v>Arch. Izzo Salvatore</x:v>
      </x:c>
      <x:c r="H23" s="19" t="str">
        <x:v>3283255197</x:v>
      </x:c>
      <x:c r="I23" s="12" t="n">
        <x:v>41.05400833333333</x:v>
      </x:c>
      <x:c r="J23" s="12" t="n">
        <x:v>14.612008333333334</x:v>
      </x:c>
      <x:c r="K23" s="19" t="str">
        <x:v>41°03'14,43" N; 14°36'43,23" E</x:v>
      </x:c>
      <x:c r="L23" s="19" t="str">
        <x:v>EPSG:4326 - WGS84</x:v>
      </x:c>
      <x:c r="M23" s="19" t="str"/>
      <x:c r="N23" s="19" t="str">
        <x:v>Via Fratta (avanti distaccamento VV.F.)</x:v>
      </x:c>
      <x:c r="O23" s="21"/>
      <x:c r="P23" s="19" t="str"/>
      <x:c r="Q23" s="19" t="str">
        <x:v>D.C.C. n. 15 del 30/11/2020</x:v>
      </x:c>
      <x:c r="R23" s="21" t="n">
        <x:v>44165.5</x:v>
      </x:c>
      <x:c r="S23" s="22"/>
      <x:c r="T23" s="19" t="str">
        <x:v>Coordinate riportate nel PDF</x:v>
      </x:c>
      <x:c r="U23" s="19" t="str">
        <x:v>Presidi Antincendio aggiornati al 2026 - Comune di Bonea.pdf</x:v>
      </x:c>
      <x:c r="V23" s="19" t="str">
        <x:v>1</x:v>
      </x:c>
      <x:c r="W23" s="19" t="str"/>
    </x:row>
    <x:row r="24">
      <x:c r="A24" s="11" t="str">
        <x:v>AIB-023</x:v>
      </x:c>
      <x:c r="B24" s="11" t="str">
        <x:v>Campolattaro</x:v>
      </x:c>
      <x:c r="C24" s="19" t="str">
        <x:v>Idrante</x:v>
      </x:c>
      <x:c r="D24" s="19" t="str">
        <x:v>Idrante presso Ufficio Postale</x:v>
      </x:c>
      <x:c r="E24" s="19" t="str">
        <x:v>Poste Italiane</x:v>
      </x:c>
      <x:c r="F24" s="19" t="str">
        <x:v>Incustodito</x:v>
      </x:c>
      <x:c r="G24" s="19" t="str"/>
      <x:c r="H24" s="19" t="str"/>
      <x:c r="I24" s="12" t="n">
        <x:v>41.28675</x:v>
      </x:c>
      <x:c r="J24" s="12" t="n">
        <x:v>14.73067</x:v>
      </x:c>
      <x:c r="K24" s="19" t="str">
        <x:v>41.28675, 14.73067</x:v>
      </x:c>
      <x:c r="L24" s="19" t="str">
        <x:v>EPSG:4326 - WGS84</x:v>
      </x:c>
      <x:c r="M24" s="19" t="str"/>
      <x:c r="N24" s="19" t="str">
        <x:v>Campolattaro (BN), Via Molise (nei pressi dell'Ufficio Postale)</x:v>
      </x:c>
      <x:c r="O24" s="21"/>
      <x:c r="P24" s="19" t="str">
        <x:v>Data del controllo non disponibile</x:v>
      </x:c>
      <x:c r="Q24" s="19" t="str">
        <x:v>D.G.C. n. 146 del 27/05/20213</x:v>
      </x:c>
      <x:c r="R24" s="21"/>
      <x:c r="S24" s="22"/>
      <x:c r="T24" s="19" t="str">
        <x:v>Coordinate riportate nel PDF</x:v>
      </x:c>
      <x:c r="U24" s="19" t="str">
        <x:v>Presidi Antincendio aggiornati al 2026 - Comune di Campolattaro.pdf</x:v>
      </x:c>
      <x:c r="V24" s="19" t="str">
        <x:v>1</x:v>
      </x:c>
      <x:c r="W24" s="19" t="str">
        <x:v>La data del provvedimento è riportata nel PDF come 27/05/20213 ed è stata conservata senza correzione.</x:v>
      </x:c>
    </x:row>
    <x:row r="25">
      <x:c r="A25" s="11" t="str">
        <x:v>AIB-024</x:v>
      </x:c>
      <x:c r="B25" s="11" t="str">
        <x:v>Campoli del Monte Taburno</x:v>
      </x:c>
      <x:c r="C25" s="19" t="str">
        <x:v>Idrante</x:v>
      </x:c>
      <x:c r="D25" s="19" t="str">
        <x:v>Idrante 1</x:v>
      </x:c>
      <x:c r="E25" s="19" t="str">
        <x:v>Comune di Campoli del Monte Taburno</x:v>
      </x:c>
      <x:c r="F25" s="19" t="str">
        <x:v>Incustodito</x:v>
      </x:c>
      <x:c r="G25" s="19" t="str">
        <x:v>Sig. Grasso Tommaso Nicola</x:v>
      </x:c>
      <x:c r="H25" s="19" t="str">
        <x:v>3355704644</x:v>
      </x:c>
      <x:c r="I25" s="12" t="n">
        <x:v>41.133303</x:v>
      </x:c>
      <x:c r="J25" s="12" t="n">
        <x:v>14.644333</x:v>
      </x:c>
      <x:c r="K25" s="19" t="str">
        <x:v>41.133303, 14.644333</x:v>
      </x:c>
      <x:c r="L25" s="19" t="str">
        <x:v>EPSG:4326 - WGS84</x:v>
      </x:c>
      <x:c r="M25" s="19" t="str"/>
      <x:c r="N25" s="19" t="str">
        <x:v>Via Provinciale Vitulanese - Cimitero</x:v>
      </x:c>
      <x:c r="O25" s="21"/>
      <x:c r="P25" s="19" t="str"/>
      <x:c r="Q25" s="19" t="str">
        <x:v>D.G.C. n. 52 del 18/12/2017</x:v>
      </x:c>
      <x:c r="R25" s="21" t="n">
        <x:v>43087.5</x:v>
      </x:c>
      <x:c r="S25" s="22"/>
      <x:c r="T25" s="19" t="str">
        <x:v>Coordinate riportate nel PDF</x:v>
      </x:c>
      <x:c r="U25" s="19" t="str">
        <x:v>Presidi Antincendio aggiornati al 2026 - Comune di Campoli Monte Taburno.pdf</x:v>
      </x:c>
      <x:c r="V25" s="19" t="str">
        <x:v>1</x:v>
      </x:c>
      <x:c r="W25" s="19" t="str"/>
    </x:row>
    <x:row r="26">
      <x:c r="A26" s="11" t="str">
        <x:v>AIB-025</x:v>
      </x:c>
      <x:c r="B26" s="11" t="str">
        <x:v>Campoli del Monte Taburno</x:v>
      </x:c>
      <x:c r="C26" s="19" t="str">
        <x:v>Idrante</x:v>
      </x:c>
      <x:c r="D26" s="19" t="str">
        <x:v>Idrante 2</x:v>
      </x:c>
      <x:c r="E26" s="19" t="str">
        <x:v>Comune di Campoli del Monte Taburno</x:v>
      </x:c>
      <x:c r="F26" s="19" t="str">
        <x:v>Incustodito</x:v>
      </x:c>
      <x:c r="G26" s="19" t="str">
        <x:v>Sig. Grasso Tommaso Nicola</x:v>
      </x:c>
      <x:c r="H26" s="19" t="str">
        <x:v>3355704644</x:v>
      </x:c>
      <x:c r="I26" s="12" t="n">
        <x:v>41.13137</x:v>
      </x:c>
      <x:c r="J26" s="12" t="n">
        <x:v>14.646505</x:v>
      </x:c>
      <x:c r="K26" s="19" t="str">
        <x:v>41.13137, 14.646505</x:v>
      </x:c>
      <x:c r="L26" s="19" t="str">
        <x:v>EPSG:4326 - WGS84</x:v>
      </x:c>
      <x:c r="M26" s="19" t="str"/>
      <x:c r="N26" s="19" t="str">
        <x:v>Piazza Alfonso La Marmora</x:v>
      </x:c>
      <x:c r="O26" s="21"/>
      <x:c r="P26" s="19" t="str"/>
      <x:c r="Q26" s="19" t="str">
        <x:v>D.G.C. n. 52 del 18/12/2017</x:v>
      </x:c>
      <x:c r="R26" s="21" t="n">
        <x:v>43087.5</x:v>
      </x:c>
      <x:c r="S26" s="22"/>
      <x:c r="T26" s="19" t="str">
        <x:v>Coordinate riportate nel PDF</x:v>
      </x:c>
      <x:c r="U26" s="19" t="str">
        <x:v>Presidi Antincendio aggiornati al 2026 - Comune di Campoli Monte Taburno.pdf</x:v>
      </x:c>
      <x:c r="V26" s="19" t="str">
        <x:v>1</x:v>
      </x:c>
      <x:c r="W26" s="19" t="str"/>
    </x:row>
    <x:row r="27">
      <x:c r="A27" s="11" t="str">
        <x:v>AIB-026</x:v>
      </x:c>
      <x:c r="B27" s="11" t="str">
        <x:v>Campoli del Monte Taburno</x:v>
      </x:c>
      <x:c r="C27" s="19" t="str">
        <x:v>Idrante</x:v>
      </x:c>
      <x:c r="D27" s="19" t="str">
        <x:v>Idrante 3</x:v>
      </x:c>
      <x:c r="E27" s="19" t="str">
        <x:v>Comune di Campoli del Monte Taburno</x:v>
      </x:c>
      <x:c r="F27" s="19" t="str">
        <x:v>Incustodito</x:v>
      </x:c>
      <x:c r="G27" s="19" t="str">
        <x:v>Sig. Grasso Tommaso Nicola</x:v>
      </x:c>
      <x:c r="H27" s="19" t="str">
        <x:v>3355704644</x:v>
      </x:c>
      <x:c r="I27" s="12" t="n">
        <x:v>41.13094</x:v>
      </x:c>
      <x:c r="J27" s="12" t="n">
        <x:v>14.64622</x:v>
      </x:c>
      <x:c r="K27" s="19" t="str">
        <x:v>41.13094, 14.64622</x:v>
      </x:c>
      <x:c r="L27" s="19" t="str">
        <x:v>EPSG:4326 - WGS84</x:v>
      </x:c>
      <x:c r="M27" s="19" t="str"/>
      <x:c r="N27" s="19" t="str">
        <x:v>Piazza Vicedomini</x:v>
      </x:c>
      <x:c r="O27" s="21"/>
      <x:c r="P27" s="19" t="str"/>
      <x:c r="Q27" s="19" t="str">
        <x:v>D.G.C. n. 52 del 18/12/2017</x:v>
      </x:c>
      <x:c r="R27" s="21" t="n">
        <x:v>43087.5</x:v>
      </x:c>
      <x:c r="S27" s="22"/>
      <x:c r="T27" s="19" t="str">
        <x:v>Coordinate riportate nel PDF</x:v>
      </x:c>
      <x:c r="U27" s="19" t="str">
        <x:v>Presidi Antincendio aggiornati al 2026 - Comune di Campoli Monte Taburno.pdf</x:v>
      </x:c>
      <x:c r="V27" s="19" t="str">
        <x:v>1</x:v>
      </x:c>
      <x:c r="W27" s="19" t="str"/>
    </x:row>
    <x:row r="28">
      <x:c r="A28" s="11" t="str">
        <x:v>AIB-027</x:v>
      </x:c>
      <x:c r="B28" s="11" t="str">
        <x:v>Campoli del Monte Taburno</x:v>
      </x:c>
      <x:c r="C28" s="19" t="str">
        <x:v>Idrante</x:v>
      </x:c>
      <x:c r="D28" s="19" t="str">
        <x:v>Idrante 4</x:v>
      </x:c>
      <x:c r="E28" s="19" t="str">
        <x:v>Comune di Campoli del Monte Taburno</x:v>
      </x:c>
      <x:c r="F28" s="19" t="str">
        <x:v>Incustodito</x:v>
      </x:c>
      <x:c r="G28" s="19" t="str">
        <x:v>Sig. Grasso Tommaso Nicola</x:v>
      </x:c>
      <x:c r="H28" s="19" t="str">
        <x:v>3355704644</x:v>
      </x:c>
      <x:c r="I28" s="12" t="n">
        <x:v>41.13305</x:v>
      </x:c>
      <x:c r="J28" s="12" t="n">
        <x:v>14.64635</x:v>
      </x:c>
      <x:c r="K28" s="19" t="str">
        <x:v>41.13305, 14.64635</x:v>
      </x:c>
      <x:c r="L28" s="19" t="str">
        <x:v>EPSG:4326 - WGS84</x:v>
      </x:c>
      <x:c r="M28" s="19" t="str"/>
      <x:c r="N28" s="19" t="str">
        <x:v>Villa Comunale</x:v>
      </x:c>
      <x:c r="O28" s="21"/>
      <x:c r="P28" s="19" t="str"/>
      <x:c r="Q28" s="19" t="str">
        <x:v>D.G.C. n. 52 del 18/12/2017</x:v>
      </x:c>
      <x:c r="R28" s="21" t="n">
        <x:v>43087.5</x:v>
      </x:c>
      <x:c r="S28" s="22"/>
      <x:c r="T28" s="19" t="str">
        <x:v>Coordinate riportate nel PDF</x:v>
      </x:c>
      <x:c r="U28" s="19" t="str">
        <x:v>Presidi Antincendio aggiornati al 2026 - Comune di Campoli Monte Taburno.pdf</x:v>
      </x:c>
      <x:c r="V28" s="19" t="str">
        <x:v>1</x:v>
      </x:c>
      <x:c r="W28" s="19" t="str"/>
    </x:row>
    <x:row r="29">
      <x:c r="A29" s="11" t="str">
        <x:v>AIB-028</x:v>
      </x:c>
      <x:c r="B29" s="11" t="str">
        <x:v>Casalduni</x:v>
      </x:c>
      <x:c r="C29" s="19" t="str">
        <x:v>Piscina comunale</x:v>
      </x:c>
      <x:c r="D29" s="19" t="str">
        <x:v>Piscina comunale</x:v>
      </x:c>
      <x:c r="E29" s="19" t="str">
        <x:v>Comune di Casalduni</x:v>
      </x:c>
      <x:c r="F29" s="19" t="str">
        <x:v>Custodita</x:v>
      </x:c>
      <x:c r="G29" s="19" t="str">
        <x:v>Sig. De Michele Antonio</x:v>
      </x:c>
      <x:c r="H29" s="19" t="str">
        <x:v>3204572369</x:v>
      </x:c>
      <x:c r="I29" s="12" t="n">
        <x:v>41.26111111111111</x:v>
      </x:c>
      <x:c r="J29" s="12" t="n">
        <x:v>14.693333333333333</x:v>
      </x:c>
      <x:c r="K29" s="19" t="str">
        <x:v>41°15'40" N; 14°41'36" E</x:v>
      </x:c>
      <x:c r="L29" s="19" t="str">
        <x:v>EPSG:4326 - WGS84</x:v>
      </x:c>
      <x:c r="M29" s="19" t="str"/>
      <x:c r="N29" s="19" t="str">
        <x:v>Via Cupa</x:v>
      </x:c>
      <x:c r="O29" s="21" t="n">
        <x:v>46052.5</x:v>
      </x:c>
      <x:c r="P29" s="19" t="str"/>
      <x:c r="Q29" s="19" t="str">
        <x:v>D.C.C. n. 35 del 19/12/2024</x:v>
      </x:c>
      <x:c r="R29" s="21" t="n">
        <x:v>45645.5</x:v>
      </x:c>
      <x:c r="S29" s="22"/>
      <x:c r="T29" s="19" t="str">
        <x:v>Coordinate riportate nel PDF</x:v>
      </x:c>
      <x:c r="U29" s="19" t="str">
        <x:v>Presidi Antincendio aggiornati al 2026 - Comune di Casalduni.pdf</x:v>
      </x:c>
      <x:c r="V29" s="19" t="str">
        <x:v>2</x:v>
      </x:c>
      <x:c r="W29" s="19" t="str"/>
    </x:row>
    <x:row r="30">
      <x:c r="A30" s="11" t="str">
        <x:v>AIB-029</x:v>
      </x:c>
      <x:c r="B30" s="11" t="str">
        <x:v>Casalduni</x:v>
      </x:c>
      <x:c r="C30" s="19" t="str">
        <x:v>Riserva idrica</x:v>
      </x:c>
      <x:c r="D30" s="19" t="str">
        <x:v>Riserva vasca Fontana Vecchia</x:v>
      </x:c>
      <x:c r="E30" s="19" t="str">
        <x:v>Comune di Casalduni</x:v>
      </x:c>
      <x:c r="F30" s="19" t="str">
        <x:v>Custodita</x:v>
      </x:c>
      <x:c r="G30" s="19" t="str">
        <x:v>Sig. Guglielmucci Salvatore</x:v>
      </x:c>
      <x:c r="H30" s="19" t="str">
        <x:v>3383732329</x:v>
      </x:c>
      <x:c r="I30" s="12" t="n">
        <x:v>41.260555555555555</x:v>
      </x:c>
      <x:c r="J30" s="12" t="n">
        <x:v>14.696111111111112</x:v>
      </x:c>
      <x:c r="K30" s="19" t="str">
        <x:v>41°15'38" N; 14°41'46" E</x:v>
      </x:c>
      <x:c r="L30" s="19" t="str">
        <x:v>EPSG:4326 - WGS84</x:v>
      </x:c>
      <x:c r="M30" s="19" t="str"/>
      <x:c r="N30" s="19" t="str">
        <x:v>Via Roma</x:v>
      </x:c>
      <x:c r="O30" s="21" t="n">
        <x:v>46052.5</x:v>
      </x:c>
      <x:c r="P30" s="19" t="str"/>
      <x:c r="Q30" s="19" t="str"/>
      <x:c r="R30" s="21"/>
      <x:c r="S30" s="22"/>
      <x:c r="T30" s="19" t="str">
        <x:v>Coordinate riportate nel PDF</x:v>
      </x:c>
      <x:c r="U30" s="19" t="str">
        <x:v>Presidi Antincendio aggiornati al 2026 - Comune di Casalduni.pdf</x:v>
      </x:c>
      <x:c r="V30" s="19" t="str">
        <x:v>2</x:v>
      </x:c>
      <x:c r="W30" s="19" t="str"/>
    </x:row>
    <x:row r="31">
      <x:c r="A31" s="11" t="str">
        <x:v>AIB-030</x:v>
      </x:c>
      <x:c r="B31" s="11" t="str">
        <x:v>Cusano Mutri</x:v>
      </x:c>
      <x:c r="C31" s="19" t="str">
        <x:v>Idrante stradale</x:v>
      </x:c>
      <x:c r="D31" s="19" t="str">
        <x:v>Idrante stradale</x:v>
      </x:c>
      <x:c r="E31" s="19" t="str">
        <x:v>Comune di Cusano Mutri</x:v>
      </x:c>
      <x:c r="F31" s="19" t="str">
        <x:v>Custodito</x:v>
      </x:c>
      <x:c r="G31" s="19" t="str">
        <x:v>Ing. Gerardo Rillo</x:v>
      </x:c>
      <x:c r="H31" s="19" t="str">
        <x:v>3347290514</x:v>
      </x:c>
      <x:c r="I31" s="12" t="n">
        <x:v>41.33906666666667</x:v>
      </x:c>
      <x:c r="J31" s="12" t="n">
        <x:v>14.507058333333333</x:v>
      </x:c>
      <x:c r="K31" s="19" t="str">
        <x:v>41°20'20,64" N; 14°30'25,41" E</x:v>
      </x:c>
      <x:c r="L31" s="19" t="str">
        <x:v>EPSG:4326 - WGS84</x:v>
      </x:c>
      <x:c r="M31" s="19" t="str"/>
      <x:c r="N31" s="19" t="str">
        <x:v>Piazza Orticelli</x:v>
      </x:c>
      <x:c r="O31" s="21" t="n">
        <x:v>45458.5</x:v>
      </x:c>
      <x:c r="P31" s="19" t="str"/>
      <x:c r="Q31" s="19" t="str">
        <x:v>D.C.C. n. 30 del 28/12/2020</x:v>
      </x:c>
      <x:c r="R31" s="21" t="n">
        <x:v>44193.5</x:v>
      </x:c>
      <x:c r="S31" s="22"/>
      <x:c r="T31" s="19" t="str">
        <x:v>Coordinate riportate nel PDF</x:v>
      </x:c>
      <x:c r="U31" s="19" t="str">
        <x:v>Presidi Antincendio aggiornati al 2026 - Comune di Cusano Mutri.pdf</x:v>
      </x:c>
      <x:c r="V31" s="19" t="str">
        <x:v>2</x:v>
      </x:c>
      <x:c r="W31" s="19" t="str"/>
    </x:row>
    <x:row r="32">
      <x:c r="A32" s="11" t="str">
        <x:v>AIB-031</x:v>
      </x:c>
      <x:c r="B32" s="11" t="str">
        <x:v>Cusano Mutri</x:v>
      </x:c>
      <x:c r="C32" s="19" t="str">
        <x:v>Idrante stradale</x:v>
      </x:c>
      <x:c r="D32" s="19" t="str">
        <x:v>Idrante stradale</x:v>
      </x:c>
      <x:c r="E32" s="19" t="str">
        <x:v>Comune di Cusano Mutri</x:v>
      </x:c>
      <x:c r="F32" s="19" t="str">
        <x:v>Custodito</x:v>
      </x:c>
      <x:c r="G32" s="19" t="str">
        <x:v>Ing. Gerardo Rillo</x:v>
      </x:c>
      <x:c r="H32" s="19" t="str">
        <x:v>3347290514</x:v>
      </x:c>
      <x:c r="I32" s="12" t="n">
        <x:v>41.338094444444444</x:v>
      </x:c>
      <x:c r="J32" s="12" t="n">
        <x:v>14.507652777777778</x:v>
      </x:c>
      <x:c r="K32" s="19" t="str">
        <x:v>41°20'17,14" N; 14°30'27,55" E</x:v>
      </x:c>
      <x:c r="L32" s="19" t="str">
        <x:v>EPSG:4326 - WGS84</x:v>
      </x:c>
      <x:c r="M32" s="19" t="str"/>
      <x:c r="N32" s="19" t="str">
        <x:v>Via Roma</x:v>
      </x:c>
      <x:c r="O32" s="21" t="n">
        <x:v>45458.5</x:v>
      </x:c>
      <x:c r="P32" s="19" t="str"/>
      <x:c r="Q32" s="19" t="str">
        <x:v>D.C.C. n. 30 del 28/12/2020</x:v>
      </x:c>
      <x:c r="R32" s="21" t="n">
        <x:v>44193.5</x:v>
      </x:c>
      <x:c r="S32" s="22"/>
      <x:c r="T32" s="19" t="str">
        <x:v>Coordinate riportate nel PDF</x:v>
      </x:c>
      <x:c r="U32" s="19" t="str">
        <x:v>Presidi Antincendio aggiornati al 2026 - Comune di Cusano Mutri.pdf</x:v>
      </x:c>
      <x:c r="V32" s="19" t="str">
        <x:v>2</x:v>
      </x:c>
      <x:c r="W32" s="19" t="str"/>
    </x:row>
    <x:row r="33">
      <x:c r="A33" s="11" t="str">
        <x:v>AIB-032</x:v>
      </x:c>
      <x:c r="B33" s="11" t="str">
        <x:v>Cusano Mutri</x:v>
      </x:c>
      <x:c r="C33" s="19" t="str">
        <x:v>Vasca antincendio</x:v>
      </x:c>
      <x:c r="D33" s="19" t="str">
        <x:v>Vasca antincendio</x:v>
      </x:c>
      <x:c r="E33" s="19" t="str">
        <x:v>Comune di Cusano Mutri</x:v>
      </x:c>
      <x:c r="F33" s="19" t="str">
        <x:v>Custodito</x:v>
      </x:c>
      <x:c r="G33" s="19" t="str">
        <x:v>Ing. Gerardo Rillo</x:v>
      </x:c>
      <x:c r="H33" s="19" t="str">
        <x:v>3347290514</x:v>
      </x:c>
      <x:c r="I33" s="12" t="n">
        <x:v>41.34469166666667</x:v>
      </x:c>
      <x:c r="J33" s="12" t="n">
        <x:v>14.496469444444443</x:v>
      </x:c>
      <x:c r="K33" s="19" t="str">
        <x:v>41°20'40,89" N; 14°29'47,29" E</x:v>
      </x:c>
      <x:c r="L33" s="19" t="str">
        <x:v>EPSG:4326 - WGS84</x:v>
      </x:c>
      <x:c r="M33" s="19" t="str"/>
      <x:c r="N33" s="19" t="str">
        <x:v>Contrada Calvario</x:v>
      </x:c>
      <x:c r="O33" s="21" t="n">
        <x:v>45458.5</x:v>
      </x:c>
      <x:c r="P33" s="19" t="str"/>
      <x:c r="Q33" s="19" t="str">
        <x:v>D.C.C. n. 30 del 28/12/2020</x:v>
      </x:c>
      <x:c r="R33" s="21" t="n">
        <x:v>44193.5</x:v>
      </x:c>
      <x:c r="S33" s="22"/>
      <x:c r="T33" s="19" t="str">
        <x:v>Coordinate riportate nel PDF</x:v>
      </x:c>
      <x:c r="U33" s="19" t="str">
        <x:v>Presidi Antincendio aggiornati al 2026 - Comune di Cusano Mutri.pdf</x:v>
      </x:c>
      <x:c r="V33" s="19" t="str">
        <x:v>2</x:v>
      </x:c>
      <x:c r="W33" s="19" t="str"/>
    </x:row>
    <x:row r="34">
      <x:c r="A34" s="11" t="str">
        <x:v>AIB-033</x:v>
      </x:c>
      <x:c r="B34" s="11" t="str">
        <x:v>Foiano di Val Fortore</x:v>
      </x:c>
      <x:c r="C34" s="19" t="str"/>
      <x:c r="D34" s="19" t="str">
        <x:v>Via Nazionale km 27+300</x:v>
      </x:c>
      <x:c r="E34" s="19" t="str">
        <x:v>Comune di Foiano di Val Fortore</x:v>
      </x:c>
      <x:c r="F34" s="19" t="str">
        <x:v>Incustodito</x:v>
      </x:c>
      <x:c r="G34" s="19" t="str">
        <x:v>Sig. Paolozza Lucio</x:v>
      </x:c>
      <x:c r="H34" s="19" t="str">
        <x:v>3471639161</x:v>
      </x:c>
      <x:c r="I34" s="12" t="n">
        <x:v>41.352983</x:v>
      </x:c>
      <x:c r="J34" s="12" t="n">
        <x:v>14.980113</x:v>
      </x:c>
      <x:c r="K34" s="19" t="str">
        <x:v>Nel PDF è presente solo il link Google Maps</x:v>
      </x:c>
      <x:c r="L34" s="19" t="str">
        <x:v>EPSG:4326 - WGS84</x:v>
      </x:c>
      <x:c r="M34" s="19" t="str">
        <x:v>https://maps.app.goo.gl/VutcQC3D5cEVXdZK7</x:v>
      </x:c>
      <x:c r="N34" s="19" t="str">
        <x:v>Centro abitato</x:v>
      </x:c>
      <x:c r="O34" s="21"/>
      <x:c r="P34" s="19" t="str">
        <x:v>N.D.</x:v>
      </x:c>
      <x:c r="Q34" s="19" t="str">
        <x:v>Delibera Consiglio Comunale n. 9 del 13/03/2021</x:v>
      </x:c>
      <x:c r="R34" s="21" t="n">
        <x:v>44268.5</x:v>
      </x:c>
      <x:c r="S34" s="22"/>
      <x:c r="T34" s="19" t="str">
        <x:v>Coordinate ricavate dal link Google Maps riportato nel PDF</x:v>
      </x:c>
      <x:c r="U34" s="19" t="str">
        <x:v>Presidi Antincendio aggiornati al 2026 - Comune di Foiano Val Fortore.pdf</x:v>
      </x:c>
      <x:c r="V34" s="19" t="str">
        <x:v>2</x:v>
      </x:c>
      <x:c r="W34" s="19" t="str"/>
    </x:row>
    <x:row r="35">
      <x:c r="A35" s="11" t="str">
        <x:v>AIB-034</x:v>
      </x:c>
      <x:c r="B35" s="11" t="str">
        <x:v>Foiano di Val Fortore</x:v>
      </x:c>
      <x:c r="C35" s="19" t="str"/>
      <x:c r="D35" s="19" t="str">
        <x:v>Piazza San Giovanni 1</x:v>
      </x:c>
      <x:c r="E35" s="19" t="str">
        <x:v>Comune di Foiano di Val Fortore</x:v>
      </x:c>
      <x:c r="F35" s="19" t="str">
        <x:v>Incustodito</x:v>
      </x:c>
      <x:c r="G35" s="19" t="str">
        <x:v>Sig. Paolozza Lucio</x:v>
      </x:c>
      <x:c r="H35" s="19" t="str">
        <x:v>3471639161</x:v>
      </x:c>
      <x:c r="I35" s="12" t="n">
        <x:v>41.3531002</x:v>
      </x:c>
      <x:c r="J35" s="12" t="n">
        <x:v>14.9803509</x:v>
      </x:c>
      <x:c r="K35" s="19" t="str">
        <x:v>Nel PDF è presente solo il link Google Maps</x:v>
      </x:c>
      <x:c r="L35" s="19" t="str">
        <x:v>EPSG:4326 - WGS84</x:v>
      </x:c>
      <x:c r="M35" s="19" t="str">
        <x:v>https://maps.app.goo.gl/TqE6GTMEvJgqTKHt8</x:v>
      </x:c>
      <x:c r="N35" s="19" t="str">
        <x:v>Centro abitato</x:v>
      </x:c>
      <x:c r="O35" s="21"/>
      <x:c r="P35" s="19" t="str">
        <x:v>N.D.</x:v>
      </x:c>
      <x:c r="Q35" s="19" t="str">
        <x:v>Delibera Consiglio Comunale n. 9 del 13/03/2021</x:v>
      </x:c>
      <x:c r="R35" s="21" t="n">
        <x:v>44268.5</x:v>
      </x:c>
      <x:c r="S35" s="22"/>
      <x:c r="T35" s="19" t="str">
        <x:v>Coordinate ricavate dal link Google Maps riportato nel PDF</x:v>
      </x:c>
      <x:c r="U35" s="19" t="str">
        <x:v>Presidi Antincendio aggiornati al 2026 - Comune di Foiano Val Fortore.pdf</x:v>
      </x:c>
      <x:c r="V35" s="19" t="str">
        <x:v>2</x:v>
      </x:c>
      <x:c r="W35" s="19" t="str"/>
    </x:row>
    <x:row r="36">
      <x:c r="A36" s="11" t="str">
        <x:v>AIB-035</x:v>
      </x:c>
      <x:c r="B36" s="11" t="str">
        <x:v>Foiano di Val Fortore</x:v>
      </x:c>
      <x:c r="C36" s="19" t="str"/>
      <x:c r="D36" s="19" t="str">
        <x:v>Piazza San Giovanni 2</x:v>
      </x:c>
      <x:c r="E36" s="19" t="str">
        <x:v>Comune di Foiano di Val Fortore</x:v>
      </x:c>
      <x:c r="F36" s="19" t="str">
        <x:v>Incustodito</x:v>
      </x:c>
      <x:c r="G36" s="19" t="str">
        <x:v>Sig. Paolozza Lucio</x:v>
      </x:c>
      <x:c r="H36" s="19" t="str">
        <x:v>3471639161</x:v>
      </x:c>
      <x:c r="I36" s="12" t="n">
        <x:v>41.352937</x:v>
      </x:c>
      <x:c r="J36" s="12" t="n">
        <x:v>14.980127</x:v>
      </x:c>
      <x:c r="K36" s="19" t="str">
        <x:v>Nel PDF è presente solo il link Google Maps</x:v>
      </x:c>
      <x:c r="L36" s="19" t="str">
        <x:v>EPSG:4326 - WGS84</x:v>
      </x:c>
      <x:c r="M36" s="19" t="str">
        <x:v>https://maps.app.goo.gl/wee1AmKZqxhzaSpv7</x:v>
      </x:c>
      <x:c r="N36" s="19" t="str">
        <x:v>Centro abitato</x:v>
      </x:c>
      <x:c r="O36" s="21"/>
      <x:c r="P36" s="19" t="str">
        <x:v>N.D.</x:v>
      </x:c>
      <x:c r="Q36" s="19" t="str">
        <x:v>Delibera Consiglio Comunale n. 9 del 13/03/2021</x:v>
      </x:c>
      <x:c r="R36" s="21" t="n">
        <x:v>44268.5</x:v>
      </x:c>
      <x:c r="S36" s="22"/>
      <x:c r="T36" s="19" t="str">
        <x:v>Coordinate ricavate dal link Google Maps riportato nel PDF</x:v>
      </x:c>
      <x:c r="U36" s="19" t="str">
        <x:v>Presidi Antincendio aggiornati al 2026 - Comune di Foiano Val Fortore.pdf</x:v>
      </x:c>
      <x:c r="V36" s="19" t="str">
        <x:v>2</x:v>
      </x:c>
      <x:c r="W36" s="19" t="str"/>
    </x:row>
    <x:row r="37">
      <x:c r="A37" s="11" t="str">
        <x:v>AIB-036</x:v>
      </x:c>
      <x:c r="B37" s="11" t="str">
        <x:v>Foiano di Val Fortore</x:v>
      </x:c>
      <x:c r="C37" s="19" t="str"/>
      <x:c r="D37" s="19" t="str">
        <x:v>Campo polivalente Via Santa Maria</x:v>
      </x:c>
      <x:c r="E37" s="19" t="str">
        <x:v>Comune di Foiano di Val Fortore</x:v>
      </x:c>
      <x:c r="F37" s="19" t="str">
        <x:v>Incustodito</x:v>
      </x:c>
      <x:c r="G37" s="19" t="str">
        <x:v>Sig. Paolozza Lucio</x:v>
      </x:c>
      <x:c r="H37" s="19" t="str">
        <x:v>3471639161</x:v>
      </x:c>
      <x:c r="I37" s="12" t="n">
        <x:v>41.351767</x:v>
      </x:c>
      <x:c r="J37" s="12" t="n">
        <x:v>14.977896</x:v>
      </x:c>
      <x:c r="K37" s="19" t="str">
        <x:v>Nel PDF è presente solo il link Google Maps</x:v>
      </x:c>
      <x:c r="L37" s="19" t="str">
        <x:v>EPSG:4326 - WGS84</x:v>
      </x:c>
      <x:c r="M37" s="19" t="str">
        <x:v>https://maps.app.goo.gl/86GyibsaiajcvuCy8</x:v>
      </x:c>
      <x:c r="N37" s="19" t="str">
        <x:v>Centro abitato</x:v>
      </x:c>
      <x:c r="O37" s="21"/>
      <x:c r="P37" s="19" t="str">
        <x:v>N.D.</x:v>
      </x:c>
      <x:c r="Q37" s="19" t="str">
        <x:v>Delibera Consiglio Comunale n. 9 del 13/03/2021</x:v>
      </x:c>
      <x:c r="R37" s="21" t="n">
        <x:v>44268.5</x:v>
      </x:c>
      <x:c r="S37" s="22"/>
      <x:c r="T37" s="19" t="str">
        <x:v>Coordinate ricavate dal link Google Maps riportato nel PDF</x:v>
      </x:c>
      <x:c r="U37" s="19" t="str">
        <x:v>Presidi Antincendio aggiornati al 2026 - Comune di Foiano Val Fortore.pdf</x:v>
      </x:c>
      <x:c r="V37" s="19" t="str">
        <x:v>3</x:v>
      </x:c>
      <x:c r="W37" s="19" t="str"/>
    </x:row>
    <x:row r="38">
      <x:c r="A38" s="11" t="str">
        <x:v>AIB-037</x:v>
      </x:c>
      <x:c r="B38" s="11" t="str">
        <x:v>Foiano di Val Fortore</x:v>
      </x:c>
      <x:c r="C38" s="19" t="str"/>
      <x:c r="D38" s="19" t="str">
        <x:v>Campo di bocce</x:v>
      </x:c>
      <x:c r="E38" s="19" t="str">
        <x:v>Comune di Foiano di Val Fortore</x:v>
      </x:c>
      <x:c r="F38" s="19" t="str">
        <x:v>Incustodito</x:v>
      </x:c>
      <x:c r="G38" s="19" t="str">
        <x:v>Sig. Paolozza Lucio</x:v>
      </x:c>
      <x:c r="H38" s="19" t="str">
        <x:v>3471639161</x:v>
      </x:c>
      <x:c r="I38" s="12" t="n">
        <x:v>41.351451</x:v>
      </x:c>
      <x:c r="J38" s="12" t="n">
        <x:v>14.97672</x:v>
      </x:c>
      <x:c r="K38" s="19" t="str">
        <x:v>Nel PDF è presente solo il link Google Maps</x:v>
      </x:c>
      <x:c r="L38" s="19" t="str">
        <x:v>EPSG:4326 - WGS84</x:v>
      </x:c>
      <x:c r="M38" s="19" t="str">
        <x:v>https://maps.app.goo.gl/BNuhJVz83EfysyYM7</x:v>
      </x:c>
      <x:c r="N38" s="19" t="str">
        <x:v>Centro abitato</x:v>
      </x:c>
      <x:c r="O38" s="21"/>
      <x:c r="P38" s="19" t="str">
        <x:v>N.D.</x:v>
      </x:c>
      <x:c r="Q38" s="19" t="str">
        <x:v>Delibera Consiglio Comunale n. 9 del 13/03/2021</x:v>
      </x:c>
      <x:c r="R38" s="21" t="n">
        <x:v>44268.5</x:v>
      </x:c>
      <x:c r="S38" s="22"/>
      <x:c r="T38" s="19" t="str">
        <x:v>Coordinate ricavate dal link Google Maps riportato nel PDF</x:v>
      </x:c>
      <x:c r="U38" s="19" t="str">
        <x:v>Presidi Antincendio aggiornati al 2026 - Comune di Foiano Val Fortore.pdf</x:v>
      </x:c>
      <x:c r="V38" s="19" t="str">
        <x:v>3</x:v>
      </x:c>
      <x:c r="W38" s="19" t="str"/>
    </x:row>
    <x:row r="39">
      <x:c r="A39" s="11" t="str">
        <x:v>AIB-038</x:v>
      </x:c>
      <x:c r="B39" s="11" t="str">
        <x:v>Foiano di Val Fortore</x:v>
      </x:c>
      <x:c r="C39" s="19" t="str"/>
      <x:c r="D39" s="19" t="str">
        <x:v>Ex 118 - Traversa Via Nazionale</x:v>
      </x:c>
      <x:c r="E39" s="19" t="str">
        <x:v>Comune di Foiano di Val Fortore</x:v>
      </x:c>
      <x:c r="F39" s="19" t="str">
        <x:v>Incustodito</x:v>
      </x:c>
      <x:c r="G39" s="19" t="str">
        <x:v>Sig. Paolozza Lucio</x:v>
      </x:c>
      <x:c r="H39" s="19" t="str">
        <x:v>3471639161</x:v>
      </x:c>
      <x:c r="I39" s="12" t="n">
        <x:v>41.352129</x:v>
      </x:c>
      <x:c r="J39" s="12" t="n">
        <x:v>14.977437</x:v>
      </x:c>
      <x:c r="K39" s="19" t="str">
        <x:v>Nel PDF è presente solo il link Google Maps</x:v>
      </x:c>
      <x:c r="L39" s="19" t="str">
        <x:v>EPSG:4326 - WGS84</x:v>
      </x:c>
      <x:c r="M39" s="19" t="str">
        <x:v>https://maps.app.goo.gl/whVCY2A3koptrbBZA</x:v>
      </x:c>
      <x:c r="N39" s="19" t="str">
        <x:v>Centro abitato</x:v>
      </x:c>
      <x:c r="O39" s="21"/>
      <x:c r="P39" s="19" t="str">
        <x:v>N.D.</x:v>
      </x:c>
      <x:c r="Q39" s="19" t="str">
        <x:v>Delibera Consiglio Comunale n. 9 del 13/03/2021</x:v>
      </x:c>
      <x:c r="R39" s="21" t="n">
        <x:v>44268.5</x:v>
      </x:c>
      <x:c r="S39" s="22"/>
      <x:c r="T39" s="19" t="str">
        <x:v>Coordinate ricavate dal link Google Maps riportato nel PDF</x:v>
      </x:c>
      <x:c r="U39" s="19" t="str">
        <x:v>Presidi Antincendio aggiornati al 2026 - Comune di Foiano Val Fortore.pdf</x:v>
      </x:c>
      <x:c r="V39" s="19" t="str">
        <x:v>3</x:v>
      </x:c>
      <x:c r="W39" s="19" t="str"/>
    </x:row>
    <x:row r="40">
      <x:c r="A40" s="11" t="str">
        <x:v>AIB-039</x:v>
      </x:c>
      <x:c r="B40" s="11" t="str">
        <x:v>Foiano di Val Fortore</x:v>
      </x:c>
      <x:c r="C40" s="19" t="str"/>
      <x:c r="D40" s="19" t="str">
        <x:v>Via Santa Maria - muro dott. Edoardo</x:v>
      </x:c>
      <x:c r="E40" s="19" t="str">
        <x:v>Comune di Foiano di Val Fortore</x:v>
      </x:c>
      <x:c r="F40" s="19" t="str">
        <x:v>Incustodito</x:v>
      </x:c>
      <x:c r="G40" s="19" t="str">
        <x:v>Sig. Paolozza Lucio</x:v>
      </x:c>
      <x:c r="H40" s="19" t="str">
        <x:v>3471639161</x:v>
      </x:c>
      <x:c r="I40" s="12" t="n">
        <x:v>41.3523</x:v>
      </x:c>
      <x:c r="J40" s="12" t="n">
        <x:v>14.978583</x:v>
      </x:c>
      <x:c r="K40" s="19" t="str">
        <x:v>Nel PDF è presente solo il link Google Maps</x:v>
      </x:c>
      <x:c r="L40" s="19" t="str">
        <x:v>EPSG:4326 - WGS84</x:v>
      </x:c>
      <x:c r="M40" s="19" t="str">
        <x:v>https://maps.app.goo.gl/rYJaq6n5kmT3xpUs9</x:v>
      </x:c>
      <x:c r="N40" s="19" t="str">
        <x:v>Centro abitato</x:v>
      </x:c>
      <x:c r="O40" s="21"/>
      <x:c r="P40" s="19" t="str">
        <x:v>N.D.</x:v>
      </x:c>
      <x:c r="Q40" s="19" t="str">
        <x:v>Delibera Consiglio Comunale n. 9 del 13/03/2021</x:v>
      </x:c>
      <x:c r="R40" s="21" t="n">
        <x:v>44268.5</x:v>
      </x:c>
      <x:c r="S40" s="22"/>
      <x:c r="T40" s="19" t="str">
        <x:v>Coordinate ricavate dal link Google Maps riportato nel PDF</x:v>
      </x:c>
      <x:c r="U40" s="19" t="str">
        <x:v>Presidi Antincendio aggiornati al 2026 - Comune di Foiano Val Fortore.pdf</x:v>
      </x:c>
      <x:c r="V40" s="19" t="str">
        <x:v>4</x:v>
      </x:c>
      <x:c r="W40" s="19" t="str"/>
    </x:row>
    <x:row r="41">
      <x:c r="A41" s="11" t="str">
        <x:v>AIB-040</x:v>
      </x:c>
      <x:c r="B41" s="11" t="str">
        <x:v>Foiano di Val Fortore</x:v>
      </x:c>
      <x:c r="C41" s="19" t="str"/>
      <x:c r="D41" s="19" t="str">
        <x:v>Via Santa Maria - zona asilo</x:v>
      </x:c>
      <x:c r="E41" s="19" t="str">
        <x:v>Comune di Foiano di Val Fortore</x:v>
      </x:c>
      <x:c r="F41" s="19" t="str">
        <x:v>Incustodito</x:v>
      </x:c>
      <x:c r="G41" s="19" t="str">
        <x:v>Sig. Paolozza Lucio</x:v>
      </x:c>
      <x:c r="H41" s="19" t="str">
        <x:v>3471639161</x:v>
      </x:c>
      <x:c r="I41" s="12" t="n">
        <x:v>41.352492</x:v>
      </x:c>
      <x:c r="J41" s="12" t="n">
        <x:v>14.979046</x:v>
      </x:c>
      <x:c r="K41" s="19" t="str">
        <x:v>Nel PDF è presente solo il link Google Maps</x:v>
      </x:c>
      <x:c r="L41" s="19" t="str">
        <x:v>EPSG:4326 - WGS84</x:v>
      </x:c>
      <x:c r="M41" s="19" t="str">
        <x:v>https://maps.app.goo.gl/P8qgjBvCzt5nUGXbA</x:v>
      </x:c>
      <x:c r="N41" s="19" t="str">
        <x:v>Centro abitato</x:v>
      </x:c>
      <x:c r="O41" s="21"/>
      <x:c r="P41" s="19" t="str">
        <x:v>N.D.</x:v>
      </x:c>
      <x:c r="Q41" s="19" t="str">
        <x:v>Delibera Consiglio Comunale n. 9 del 13/03/2021</x:v>
      </x:c>
      <x:c r="R41" s="21" t="n">
        <x:v>44268.5</x:v>
      </x:c>
      <x:c r="S41" s="22"/>
      <x:c r="T41" s="19" t="str">
        <x:v>Coordinate ricavate dal link Google Maps riportato nel PDF</x:v>
      </x:c>
      <x:c r="U41" s="19" t="str">
        <x:v>Presidi Antincendio aggiornati al 2026 - Comune di Foiano Val Fortore.pdf</x:v>
      </x:c>
      <x:c r="V41" s="19" t="str">
        <x:v>4</x:v>
      </x:c>
      <x:c r="W41" s="19" t="str"/>
    </x:row>
    <x:row r="42">
      <x:c r="A42" s="11" t="str">
        <x:v>AIB-041</x:v>
      </x:c>
      <x:c r="B42" s="11" t="str">
        <x:v>Foiano di Val Fortore</x:v>
      </x:c>
      <x:c r="C42" s="19" t="str"/>
      <x:c r="D42" s="19" t="str">
        <x:v>Piazza Aldo Moro n. 1</x:v>
      </x:c>
      <x:c r="E42" s="19" t="str">
        <x:v>Comune di Foiano di Val Fortore</x:v>
      </x:c>
      <x:c r="F42" s="19" t="str">
        <x:v>Incustodito</x:v>
      </x:c>
      <x:c r="G42" s="19" t="str">
        <x:v>Sig. Paolozza Lucio</x:v>
      </x:c>
      <x:c r="H42" s="19" t="str">
        <x:v>3471639161</x:v>
      </x:c>
      <x:c r="I42" s="12" t="n">
        <x:v>41.353491</x:v>
      </x:c>
      <x:c r="J42" s="12" t="n">
        <x:v>14.978541</x:v>
      </x:c>
      <x:c r="K42" s="19" t="str">
        <x:v>Nel PDF è presente solo il link Google Maps</x:v>
      </x:c>
      <x:c r="L42" s="19" t="str">
        <x:v>EPSG:4326 - WGS84</x:v>
      </x:c>
      <x:c r="M42" s="19" t="str">
        <x:v>https://maps.app.goo.gl/CF2y8t9XZ9UvFuSU6</x:v>
      </x:c>
      <x:c r="N42" s="19" t="str">
        <x:v>Centro abitato</x:v>
      </x:c>
      <x:c r="O42" s="21"/>
      <x:c r="P42" s="19" t="str">
        <x:v>N.D.</x:v>
      </x:c>
      <x:c r="Q42" s="19" t="str">
        <x:v>Delibera Consiglio Comunale n. 9 del 13/03/2021</x:v>
      </x:c>
      <x:c r="R42" s="21" t="n">
        <x:v>44268.5</x:v>
      </x:c>
      <x:c r="S42" s="22"/>
      <x:c r="T42" s="19" t="str">
        <x:v>Coordinate ricavate dal link Google Maps riportato nel PDF</x:v>
      </x:c>
      <x:c r="U42" s="19" t="str">
        <x:v>Presidi Antincendio aggiornati al 2026 - Comune di Foiano Val Fortore.pdf</x:v>
      </x:c>
      <x:c r="V42" s="19" t="str">
        <x:v>4</x:v>
      </x:c>
      <x:c r="W42" s="19" t="str"/>
    </x:row>
    <x:row r="43">
      <x:c r="A43" s="11" t="str">
        <x:v>AIB-042</x:v>
      </x:c>
      <x:c r="B43" s="11" t="str">
        <x:v>Foiano di Val Fortore</x:v>
      </x:c>
      <x:c r="C43" s="19" t="str"/>
      <x:c r="D43" s="19" t="str">
        <x:v>Piazza Aldo Moro n. 2</x:v>
      </x:c>
      <x:c r="E43" s="19" t="str">
        <x:v>Comune di Foiano di Val Fortore</x:v>
      </x:c>
      <x:c r="F43" s="19" t="str">
        <x:v>Incustodito</x:v>
      </x:c>
      <x:c r="G43" s="19" t="str">
        <x:v>Sig. Paolozza Lucio</x:v>
      </x:c>
      <x:c r="H43" s="19" t="str">
        <x:v>3471639161</x:v>
      </x:c>
      <x:c r="I43" s="12" t="n">
        <x:v>41.354258</x:v>
      </x:c>
      <x:c r="J43" s="12" t="n">
        <x:v>14.978045</x:v>
      </x:c>
      <x:c r="K43" s="19" t="str">
        <x:v>Nel PDF è presente solo il link Google Maps</x:v>
      </x:c>
      <x:c r="L43" s="19" t="str">
        <x:v>EPSG:4326 - WGS84</x:v>
      </x:c>
      <x:c r="M43" s="19" t="str">
        <x:v>https://maps.app.goo.gl/XEzgFLxYdnZQDj2B6</x:v>
      </x:c>
      <x:c r="N43" s="19" t="str">
        <x:v>Centro abitato</x:v>
      </x:c>
      <x:c r="O43" s="21"/>
      <x:c r="P43" s="19" t="str">
        <x:v>N.D.</x:v>
      </x:c>
      <x:c r="Q43" s="19" t="str">
        <x:v>Delibera Consiglio Comunale n. 9 del 13/03/2021</x:v>
      </x:c>
      <x:c r="R43" s="21" t="n">
        <x:v>44268.5</x:v>
      </x:c>
      <x:c r="S43" s="22"/>
      <x:c r="T43" s="19" t="str">
        <x:v>Coordinate ricavate dal link Google Maps riportato nel PDF</x:v>
      </x:c>
      <x:c r="U43" s="19" t="str">
        <x:v>Presidi Antincendio aggiornati al 2026 - Comune di Foiano Val Fortore.pdf</x:v>
      </x:c>
      <x:c r="V43" s="19" t="str">
        <x:v>5</x:v>
      </x:c>
      <x:c r="W43" s="19" t="str"/>
    </x:row>
    <x:row r="44">
      <x:c r="A44" s="11" t="str">
        <x:v>AIB-043</x:v>
      </x:c>
      <x:c r="B44" s="11" t="str">
        <x:v>Foiano di Val Fortore</x:v>
      </x:c>
      <x:c r="C44" s="19" t="str"/>
      <x:c r="D44" s="19" t="str">
        <x:v>Palestra Via Nazionale</x:v>
      </x:c>
      <x:c r="E44" s="19" t="str">
        <x:v>Comune di Foiano di Val Fortore</x:v>
      </x:c>
      <x:c r="F44" s="19" t="str">
        <x:v>Incustodito</x:v>
      </x:c>
      <x:c r="G44" s="19" t="str">
        <x:v>Sig. Paolozza Lucio</x:v>
      </x:c>
      <x:c r="H44" s="19" t="str">
        <x:v>3471639161</x:v>
      </x:c>
      <x:c r="I44" s="12" t="n">
        <x:v>41.353042</x:v>
      </x:c>
      <x:c r="J44" s="12" t="n">
        <x:v>14.978992</x:v>
      </x:c>
      <x:c r="K44" s="19" t="str">
        <x:v>Nel PDF è presente solo il link Google Maps</x:v>
      </x:c>
      <x:c r="L44" s="19" t="str">
        <x:v>EPSG:4326 - WGS84</x:v>
      </x:c>
      <x:c r="M44" s="19" t="str">
        <x:v>https://maps.app.goo.gl/QSw2nHJqQR44ixpy7</x:v>
      </x:c>
      <x:c r="N44" s="19" t="str">
        <x:v>Centro abitato</x:v>
      </x:c>
      <x:c r="O44" s="21"/>
      <x:c r="P44" s="19" t="str">
        <x:v>N.D.</x:v>
      </x:c>
      <x:c r="Q44" s="19" t="str">
        <x:v>Delibera Consiglio Comunale n. 9 del 13/03/2021</x:v>
      </x:c>
      <x:c r="R44" s="21" t="n">
        <x:v>44268.5</x:v>
      </x:c>
      <x:c r="S44" s="22"/>
      <x:c r="T44" s="19" t="str">
        <x:v>Coordinate ricavate dal link Google Maps riportato nel PDF</x:v>
      </x:c>
      <x:c r="U44" s="19" t="str">
        <x:v>Presidi Antincendio aggiornati al 2026 - Comune di Foiano Val Fortore.pdf</x:v>
      </x:c>
      <x:c r="V44" s="19" t="str">
        <x:v>5</x:v>
      </x:c>
      <x:c r="W44" s="19" t="str"/>
    </x:row>
    <x:row r="45">
      <x:c r="A45" s="11" t="str">
        <x:v>AIB-044</x:v>
      </x:c>
      <x:c r="B45" s="11" t="str">
        <x:v>Foiano di Val Fortore</x:v>
      </x:c>
      <x:c r="C45" s="19" t="str"/>
      <x:c r="D45" s="19" t="str">
        <x:v>Traversa Via Nazionale n. 2</x:v>
      </x:c>
      <x:c r="E45" s="19" t="str">
        <x:v>Comune di Foiano di Val Fortore</x:v>
      </x:c>
      <x:c r="F45" s="19" t="str">
        <x:v>Incustodito</x:v>
      </x:c>
      <x:c r="G45" s="19" t="str">
        <x:v>Sig. Paolozza Lucio</x:v>
      </x:c>
      <x:c r="H45" s="19" t="str">
        <x:v>3471639161</x:v>
      </x:c>
      <x:c r="I45" s="12" t="n">
        <x:v>41.35175</x:v>
      </x:c>
      <x:c r="J45" s="12" t="n">
        <x:v>14.976262</x:v>
      </x:c>
      <x:c r="K45" s="19" t="str">
        <x:v>Nel PDF è presente solo il link Google Maps</x:v>
      </x:c>
      <x:c r="L45" s="19" t="str">
        <x:v>EPSG:4326 - WGS84</x:v>
      </x:c>
      <x:c r="M45" s="19" t="str">
        <x:v>https://maps.app.goo.gl/2acP3KRxBGAahs7F9</x:v>
      </x:c>
      <x:c r="N45" s="19" t="str">
        <x:v>Centro abitato</x:v>
      </x:c>
      <x:c r="O45" s="21"/>
      <x:c r="P45" s="19" t="str">
        <x:v>N.D.</x:v>
      </x:c>
      <x:c r="Q45" s="19" t="str">
        <x:v>Delibera Consiglio Comunale n. 9 del 13/03/2021</x:v>
      </x:c>
      <x:c r="R45" s="21" t="n">
        <x:v>44268.5</x:v>
      </x:c>
      <x:c r="S45" s="22"/>
      <x:c r="T45" s="19" t="str">
        <x:v>Coordinate ricavate dal link Google Maps riportato nel PDF</x:v>
      </x:c>
      <x:c r="U45" s="19" t="str">
        <x:v>Presidi Antincendio aggiornati al 2026 - Comune di Foiano Val Fortore.pdf</x:v>
      </x:c>
      <x:c r="V45" s="19" t="str">
        <x:v>5</x:v>
      </x:c>
      <x:c r="W45" s="19" t="str"/>
    </x:row>
    <x:row r="46">
      <x:c r="A46" s="11" t="str">
        <x:v>AIB-045</x:v>
      </x:c>
      <x:c r="B46" s="11" t="str">
        <x:v>Foiano di Val Fortore</x:v>
      </x:c>
      <x:c r="C46" s="19" t="str"/>
      <x:c r="D46" s="19" t="str">
        <x:v>Via Santa Maria - campo da tennis</x:v>
      </x:c>
      <x:c r="E46" s="19" t="str">
        <x:v>Comune di Foiano di Val Fortore</x:v>
      </x:c>
      <x:c r="F46" s="19" t="str">
        <x:v>Incustodito</x:v>
      </x:c>
      <x:c r="G46" s="19" t="str">
        <x:v>Sig. Paolozza Lucio</x:v>
      </x:c>
      <x:c r="H46" s="19" t="str">
        <x:v>3471639161</x:v>
      </x:c>
      <x:c r="I46" s="12" t="n">
        <x:v>41.351426</x:v>
      </x:c>
      <x:c r="J46" s="12" t="n">
        <x:v>14.975985</x:v>
      </x:c>
      <x:c r="K46" s="19" t="str">
        <x:v>Nel PDF è presente solo il link Google Maps</x:v>
      </x:c>
      <x:c r="L46" s="19" t="str">
        <x:v>EPSG:4326 - WGS84</x:v>
      </x:c>
      <x:c r="M46" s="19" t="str">
        <x:v>https://maps.app.goo.gl/1SXVY456qb1gKDc16</x:v>
      </x:c>
      <x:c r="N46" s="19" t="str">
        <x:v>Centro abitato</x:v>
      </x:c>
      <x:c r="O46" s="21"/>
      <x:c r="P46" s="19" t="str">
        <x:v>N.D.</x:v>
      </x:c>
      <x:c r="Q46" s="19" t="str">
        <x:v>Delibera Consiglio Comunale n. 9 del 13/03/2021</x:v>
      </x:c>
      <x:c r="R46" s="21" t="n">
        <x:v>44268.5</x:v>
      </x:c>
      <x:c r="S46" s="22"/>
      <x:c r="T46" s="19" t="str">
        <x:v>Coordinate ricavate dal link Google Maps riportato nel PDF</x:v>
      </x:c>
      <x:c r="U46" s="19" t="str">
        <x:v>Presidi Antincendio aggiornati al 2026 - Comune di Foiano Val Fortore.pdf</x:v>
      </x:c>
      <x:c r="V46" s="19" t="str">
        <x:v>6</x:v>
      </x:c>
      <x:c r="W46" s="19" t="str"/>
    </x:row>
    <x:row r="47">
      <x:c r="A47" s="11" t="str">
        <x:v>AIB-046</x:v>
      </x:c>
      <x:c r="B47" s="11" t="str">
        <x:v>Forchia</x:v>
      </x:c>
      <x:c r="C47" s="19" t="str">
        <x:v>Idrante stradale</x:v>
      </x:c>
      <x:c r="D47" s="19" t="str">
        <x:v>Idrante stradale</x:v>
      </x:c>
      <x:c r="E47" s="19" t="str">
        <x:v>Comune di Forchia</x:v>
      </x:c>
      <x:c r="F47" s="19" t="str">
        <x:v>Incustodito</x:v>
      </x:c>
      <x:c r="G47" s="19" t="str">
        <x:v>Arch. Angeloceleste Miccoli</x:v>
      </x:c>
      <x:c r="H47" s="19" t="str">
        <x:v>3926423856</x:v>
      </x:c>
      <x:c r="I47" s="12" t="n">
        <x:v>41.032383333333335</x:v>
      </x:c>
      <x:c r="J47" s="12" t="n">
        <x:v>14.540058333333333</x:v>
      </x:c>
      <x:c r="K47" s="19" t="str">
        <x:v>41°1'56,58" N; 14°32'24,21" E</x:v>
      </x:c>
      <x:c r="L47" s="19" t="str">
        <x:v>EPSG:4326 - WGS84</x:v>
      </x:c>
      <x:c r="M47" s="19" t="str"/>
      <x:c r="N47" s="19" t="str">
        <x:v>Via Misciuni (C/da Cretazzo), ingresso esterno palazzetto dello sport</x:v>
      </x:c>
      <x:c r="O47" s="21" t="n">
        <x:v>46024.5</x:v>
      </x:c>
      <x:c r="P47" s="19" t="str"/>
      <x:c r="Q47" s="19" t="str">
        <x:v>D.C.C. n. 27 del 30/12/2015</x:v>
      </x:c>
      <x:c r="R47" s="21" t="n">
        <x:v>42368.5</x:v>
      </x:c>
      <x:c r="S47" s="22"/>
      <x:c r="T47" s="19" t="str">
        <x:v>Coordinate riportate nel PDF</x:v>
      </x:c>
      <x:c r="U47" s="19" t="str">
        <x:v>Presidi Antincendio aggiornati al 2026 - Comune di Forchia.pdf</x:v>
      </x:c>
      <x:c r="V47" s="19" t="str">
        <x:v>2</x:v>
      </x:c>
      <x:c r="W47" s="19" t="str"/>
    </x:row>
    <x:row r="48">
      <x:c r="A48" s="11" t="str">
        <x:v>AIB-047</x:v>
      </x:c>
      <x:c r="B48" s="11" t="str">
        <x:v>Frasso Telesino</x:v>
      </x:c>
      <x:c r="C48" s="19" t="str">
        <x:v>Idrante soprasuolo</x:v>
      </x:c>
      <x:c r="D48" s="19" t="str">
        <x:v>Idrante soprasuolo</x:v>
      </x:c>
      <x:c r="E48" s="19" t="str">
        <x:v>Comune di Frasso Telesino</x:v>
      </x:c>
      <x:c r="F48" s="19" t="str">
        <x:v>Incustodito</x:v>
      </x:c>
      <x:c r="G48" s="19" t="str"/>
      <x:c r="H48" s="19" t="str"/>
      <x:c r="I48" s="12" t="n">
        <x:v>41.158793</x:v>
      </x:c>
      <x:c r="J48" s="12" t="n">
        <x:v>14.531095</x:v>
      </x:c>
      <x:c r="K48" s="19" t="str">
        <x:v>41.158793, 14.531095</x:v>
      </x:c>
      <x:c r="L48" s="19" t="str">
        <x:v>EPSG:4326 - WGS84</x:v>
      </x:c>
      <x:c r="M48" s="19" t="str"/>
      <x:c r="N48" s="19" t="str">
        <x:v>Via Rotabile B. - Frasso-Cautano</x:v>
      </x:c>
      <x:c r="O48" s="21"/>
      <x:c r="P48" s="19" t="str"/>
      <x:c r="Q48" s="19" t="str"/>
      <x:c r="R48" s="21"/>
      <x:c r="S48" s="22"/>
      <x:c r="T48" s="19" t="str">
        <x:v>Coordinate riportate nel PDF</x:v>
      </x:c>
      <x:c r="U48" s="19" t="str">
        <x:v>Presidi Antincendio aggiornati al 2026 - Comune di Frasso Telesino.pdf</x:v>
      </x:c>
      <x:c r="V48" s="19" t="str">
        <x:v>1</x:v>
      </x:c>
      <x:c r="W48" s="19" t="str"/>
    </x:row>
    <x:row r="49">
      <x:c r="A49" s="11" t="str">
        <x:v>AIB-048</x:v>
      </x:c>
      <x:c r="B49" s="11" t="str">
        <x:v>Melizzano</x:v>
      </x:c>
      <x:c r="C49" s="19" t="str"/>
      <x:c r="D49" s="19" t="str">
        <x:v>Ingresso centro RAEE</x:v>
      </x:c>
      <x:c r="E49" s="19" t="str">
        <x:v>Comune di Melizzano</x:v>
      </x:c>
      <x:c r="F49" s="19" t="str">
        <x:v>Incustodito</x:v>
      </x:c>
      <x:c r="G49" s="19" t="str"/>
      <x:c r="H49" s="19" t="str"/>
      <x:c r="I49" s="12" t="n">
        <x:v>41.18729999999999</x:v>
      </x:c>
      <x:c r="J49" s="12" t="n">
        <x:v>14.491152777777778</x:v>
      </x:c>
      <x:c r="K49" s="19" t="str">
        <x:v>41°11'14,28" N; 14°29'28,15" E</x:v>
      </x:c>
      <x:c r="L49" s="19" t="str">
        <x:v>EPSG:4326 - WGS84</x:v>
      </x:c>
      <x:c r="M49" s="19" t="str"/>
      <x:c r="N49" s="19" t="str">
        <x:v>Torello di Melizzano (BN), SP110 km non specificato</x:v>
      </x:c>
      <x:c r="O49" s="21"/>
      <x:c r="P49" s="19" t="str"/>
      <x:c r="Q49" s="19" t="str">
        <x:v>D.G.C. n. 31 del 05/10/2016</x:v>
      </x:c>
      <x:c r="R49" s="21" t="n">
        <x:v>42648.5</x:v>
      </x:c>
      <x:c r="S49" s="22"/>
      <x:c r="T49" s="19" t="str">
        <x:v>Coordinate riportate nel PDF</x:v>
      </x:c>
      <x:c r="U49" s="19" t="str">
        <x:v>Presidi Antincendio aggiornati al 2026 - Comune di Melizzano.pdf</x:v>
      </x:c>
      <x:c r="V49" s="19" t="str">
        <x:v>1</x:v>
      </x:c>
      <x:c r="W49" s="19" t="str">
        <x:v>La tipologia specifica non è compilata nel modello; la denominazione è riportata come 'INGRESSO CENTRO RAEE'.</x:v>
      </x:c>
    </x:row>
    <x:row r="50">
      <x:c r="A50" s="11" t="str">
        <x:v>AIB-049</x:v>
      </x:c>
      <x:c r="B50" s="11" t="str">
        <x:v>Paupisi</x:v>
      </x:c>
      <x:c r="C50" s="19" t="str">
        <x:v>Stazione di pompaggio antincendio</x:v>
      </x:c>
      <x:c r="D50" s="19" t="str">
        <x:v>Stazione di pompaggio antincendio con attacco esterno UNI 70 - Scuola secondaria di primo grado e scuola primaria</x:v>
      </x:c>
      <x:c r="E50" s="19" t="str">
        <x:v>Comune di Paupisi</x:v>
      </x:c>
      <x:c r="F50" s="19" t="str">
        <x:v>Incustodito</x:v>
      </x:c>
      <x:c r="G50" s="19" t="str">
        <x:v>Sig. Morelli Gianluca</x:v>
      </x:c>
      <x:c r="H50" s="19" t="str">
        <x:v>3395365838</x:v>
      </x:c>
      <x:c r="I50" s="12" t="n">
        <x:v>41.197046</x:v>
      </x:c>
      <x:c r="J50" s="12" t="n">
        <x:v>14.66416</x:v>
      </x:c>
      <x:c r="K50" s="19" t="str">
        <x:v>41,197046°; 14,664160°</x:v>
      </x:c>
      <x:c r="L50" s="19" t="str">
        <x:v>EPSG:4326 - WGS84</x:v>
      </x:c>
      <x:c r="M50" s="19" t="str"/>
      <x:c r="N50" s="19" t="str">
        <x:v>Via Vignali</x:v>
      </x:c>
      <x:c r="O50" s="21" t="n">
        <x:v>45393.5</x:v>
      </x:c>
      <x:c r="P50" s="19" t="str"/>
      <x:c r="Q50" s="19" t="str">
        <x:v>Delibera Consiglio Comunale n. 12 del 28/04/2023</x:v>
      </x:c>
      <x:c r="R50" s="21" t="n">
        <x:v>45044.5</x:v>
      </x:c>
      <x:c r="S50" s="22"/>
      <x:c r="T50" s="19" t="str">
        <x:v>Coordinate riportate nel PDF</x:v>
      </x:c>
      <x:c r="U50" s="19" t="str">
        <x:v>Presidi Antincendio aggiornati al 2026 - Comune di Paupisi.pdf</x:v>
      </x:c>
      <x:c r="V50" s="19" t="str">
        <x:v>1</x:v>
      </x:c>
      <x:c r="W50" s="19" t="str"/>
    </x:row>
    <x:row r="51">
      <x:c r="A51" s="11" t="str">
        <x:v>AIB-050</x:v>
      </x:c>
      <x:c r="B51" s="11" t="str">
        <x:v>Pietrelcina</x:v>
      </x:c>
      <x:c r="C51" s="19" t="str">
        <x:v>Impianto antincendio</x:v>
      </x:c>
      <x:c r="D51" s="19" t="str">
        <x:v>Impianto antincendio scuola media</x:v>
      </x:c>
      <x:c r="E51" s="19" t="str">
        <x:v>Comune di Pietrelcina</x:v>
      </x:c>
      <x:c r="F51" s="19" t="str">
        <x:v>Incustodito</x:v>
      </x:c>
      <x:c r="G51" s="19" t="str">
        <x:v>Geom. Zerillo Salvatore</x:v>
      </x:c>
      <x:c r="H51" s="19" t="str">
        <x:v>3472575587</x:v>
      </x:c>
      <x:c r="I51" s="12" t="n">
        <x:v>41.19937</x:v>
      </x:c>
      <x:c r="J51" s="12" t="n">
        <x:v>14.88448</x:v>
      </x:c>
      <x:c r="K51" s="19" t="str">
        <x:v>41.19937, 14.88448</x:v>
      </x:c>
      <x:c r="L51" s="19" t="str">
        <x:v>EPSG:4326 - WGS84</x:v>
      </x:c>
      <x:c r="M51" s="19" t="str"/>
      <x:c r="N51" s="19" t="str">
        <x:v>Viale Europa</x:v>
      </x:c>
      <x:c r="O51" s="21" t="n">
        <x:v>46094.5</x:v>
      </x:c>
      <x:c r="P51" s="19" t="str"/>
      <x:c r="Q51" s="19" t="str">
        <x:v>D.C.C. n. 29 del 08/11/2024</x:v>
      </x:c>
      <x:c r="R51" s="21" t="n">
        <x:v>45604.5</x:v>
      </x:c>
      <x:c r="S51" s="22"/>
      <x:c r="T51" s="19" t="str">
        <x:v>Coordinate riportate nel PDF</x:v>
      </x:c>
      <x:c r="U51" s="19" t="str">
        <x:v>Presidi Antincendio aggiornati al 2026 - Comune di Pietrelcina.pdf</x:v>
      </x:c>
      <x:c r="V51" s="19" t="str">
        <x:v>2</x:v>
      </x:c>
      <x:c r="W51" s="19" t="str"/>
    </x:row>
    <x:row r="52">
      <x:c r="A52" s="11" t="str">
        <x:v>AIB-051</x:v>
      </x:c>
      <x:c r="B52" s="11" t="str">
        <x:v>Pietrelcina</x:v>
      </x:c>
      <x:c r="C52" s="19" t="str">
        <x:v>Impianto antincendio</x:v>
      </x:c>
      <x:c r="D52" s="19" t="str">
        <x:v>Impianto antincendio Parco Colesanti</x:v>
      </x:c>
      <x:c r="E52" s="19" t="str">
        <x:v>Comune di Pietrelcina</x:v>
      </x:c>
      <x:c r="F52" s="19" t="str">
        <x:v>Incustodito</x:v>
      </x:c>
      <x:c r="G52" s="19" t="str">
        <x:v>Geom. Zerillo Salvatore</x:v>
      </x:c>
      <x:c r="H52" s="19" t="str">
        <x:v>3472575587</x:v>
      </x:c>
      <x:c r="I52" s="12" t="n">
        <x:v>41.197103</x:v>
      </x:c>
      <x:c r="J52" s="12" t="n">
        <x:v>14.846866</x:v>
      </x:c>
      <x:c r="K52" s="19" t="str">
        <x:v>41.197103, 14.846866</x:v>
      </x:c>
      <x:c r="L52" s="19" t="str">
        <x:v>EPSG:4326 - WGS84</x:v>
      </x:c>
      <x:c r="M52" s="19" t="str"/>
      <x:c r="N52" s="19" t="str">
        <x:v>Corso Padre Pio (Parco Colesanti)</x:v>
      </x:c>
      <x:c r="O52" s="21" t="n">
        <x:v>46094.5</x:v>
      </x:c>
      <x:c r="P52" s="19" t="str"/>
      <x:c r="Q52" s="19" t="str">
        <x:v>D.C.C. n. 29 del 08/11/2024</x:v>
      </x:c>
      <x:c r="R52" s="21" t="n">
        <x:v>45604.5</x:v>
      </x:c>
      <x:c r="S52" s="22"/>
      <x:c r="T52" s="19" t="str">
        <x:v>Coordinate riportate nel PDF</x:v>
      </x:c>
      <x:c r="U52" s="19" t="str">
        <x:v>Presidi Antincendio aggiornati al 2026 - Comune di Pietrelcina.pdf</x:v>
      </x:c>
      <x:c r="V52" s="19" t="str">
        <x:v>2</x:v>
      </x:c>
      <x:c r="W52" s="19" t="str">
        <x:v>Nel PDF il provvedimento è indicato con '===', interpretato come uguale al precedente.</x:v>
      </x:c>
    </x:row>
    <x:row r="53">
      <x:c r="A53" s="11" t="str">
        <x:v>AIB-052</x:v>
      </x:c>
      <x:c r="B53" s="11" t="str">
        <x:v>San Bartolomeo in Galdo</x:v>
      </x:c>
      <x:c r="C53" s="19" t="str">
        <x:v>Gruppo attacco motopompa</x:v>
      </x:c>
      <x:c r="D53" s="19" t="str">
        <x:v>Gruppo attacco motopompa</x:v>
      </x:c>
      <x:c r="E53" s="19" t="str">
        <x:v>Comune di San Bartolomeo in Galdo</x:v>
      </x:c>
      <x:c r="F53" s="19" t="str">
        <x:v>Incustodito</x:v>
      </x:c>
      <x:c r="G53" s="19" t="str"/>
      <x:c r="H53" s="19" t="str"/>
      <x:c r="I53" s="12" t="n">
        <x:v>41.422536</x:v>
      </x:c>
      <x:c r="J53" s="12" t="n">
        <x:v>15.01721</x:v>
      </x:c>
      <x:c r="K53" s="19" t="str">
        <x:v>Nel PDF è presente solo il link Google Maps</x:v>
      </x:c>
      <x:c r="L53" s="19" t="str">
        <x:v>EPSG:4326 - WGS84</x:v>
      </x:c>
      <x:c r="M53" s="19" t="str">
        <x:v>https://maps.app.goo.gl/NwqJKydFoynkq3fE8</x:v>
      </x:c>
      <x:c r="N53" s="19" t="str">
        <x:v>Scuola Secondaria di Primo Grado, località Ianziti</x:v>
      </x:c>
      <x:c r="O53" s="21"/>
      <x:c r="P53" s="19" t="str">
        <x:v>Nel campo controllo è riportata la dicitura 'Data di controllo e certificazione di efficienza del presidio', senza data</x:v>
      </x:c>
      <x:c r="Q53" s="19" t="str">
        <x:v>Decreto Commissario Straordinario n. 4 del 20/01/2017</x:v>
      </x:c>
      <x:c r="R53" s="21" t="n">
        <x:v>42755.5</x:v>
      </x:c>
      <x:c r="S53" s="22"/>
      <x:c r="T53" s="19" t="str">
        <x:v>Coordinate ricavate dal link Google Maps riportato nel PDF</x:v>
      </x:c>
      <x:c r="U53" s="19" t="str">
        <x:v>Presidi Antincendio aggiornati al 2026 - Comune di San Bartolomeo in Galdo.pdf</x:v>
      </x:c>
      <x:c r="V53" s="19" t="str">
        <x:v>2</x:v>
      </x:c>
      <x:c r="W53" s="19" t="str"/>
    </x:row>
    <x:row r="54">
      <x:c r="A54" s="11" t="str">
        <x:v>AIB-053</x:v>
      </x:c>
      <x:c r="B54" s="11" t="str">
        <x:v>San Bartolomeo in Galdo</x:v>
      </x:c>
      <x:c r="C54" s="19" t="str">
        <x:v>Gruppo attacco motopompa</x:v>
      </x:c>
      <x:c r="D54" s="19" t="str">
        <x:v>Gruppo attacco motopompa</x:v>
      </x:c>
      <x:c r="E54" s="19" t="str">
        <x:v>Comune di San Bartolomeo in Galdo</x:v>
      </x:c>
      <x:c r="F54" s="19" t="str">
        <x:v>Incustodito</x:v>
      </x:c>
      <x:c r="G54" s="19" t="str"/>
      <x:c r="H54" s="19" t="str"/>
      <x:c r="I54" s="12" t="n">
        <x:v>41.411529</x:v>
      </x:c>
      <x:c r="J54" s="12" t="n">
        <x:v>15.01551</x:v>
      </x:c>
      <x:c r="K54" s="19" t="str">
        <x:v>Nel PDF è presente solo il link Google Maps</x:v>
      </x:c>
      <x:c r="L54" s="19" t="str">
        <x:v>EPSG:4326 - WGS84</x:v>
      </x:c>
      <x:c r="M54" s="19" t="str">
        <x:v>https://maps.app.goo.gl/aNYy4xN4k8Z6B9S77</x:v>
      </x:c>
      <x:c r="N54" s="19" t="str">
        <x:v>Cinema-Teatro, Via Rampa Garibaldi</x:v>
      </x:c>
      <x:c r="O54" s="21"/>
      <x:c r="P54" s="19" t="str"/>
      <x:c r="Q54" s="19" t="str">
        <x:v>Decreto Commissario Straordinario n. 4 del 20/01/2017</x:v>
      </x:c>
      <x:c r="R54" s="21" t="n">
        <x:v>42755.5</x:v>
      </x:c>
      <x:c r="S54" s="22"/>
      <x:c r="T54" s="19" t="str">
        <x:v>Coordinate ricavate dal link Google Maps riportato nel PDF</x:v>
      </x:c>
      <x:c r="U54" s="19" t="str">
        <x:v>Presidi Antincendio aggiornati al 2026 - Comune di San Bartolomeo in Galdo.pdf</x:v>
      </x:c>
      <x:c r="V54" s="19" t="str">
        <x:v>2</x:v>
      </x:c>
      <x:c r="W54" s="19" t="str"/>
    </x:row>
    <x:row r="55">
      <x:c r="A55" s="11" t="str">
        <x:v>AIB-054</x:v>
      </x:c>
      <x:c r="B55" s="11" t="str">
        <x:v>San Bartolomeo in Galdo</x:v>
      </x:c>
      <x:c r="C55" s="19" t="str">
        <x:v>Gruppo attacco motopompa</x:v>
      </x:c>
      <x:c r="D55" s="19" t="str">
        <x:v>Gruppo attacco motopompa</x:v>
      </x:c>
      <x:c r="E55" s="19" t="str">
        <x:v>Comune di San Bartolomeo in Galdo</x:v>
      </x:c>
      <x:c r="F55" s="19" t="str">
        <x:v>Incustodito</x:v>
      </x:c>
      <x:c r="G55" s="19" t="str"/>
      <x:c r="H55" s="19" t="str"/>
      <x:c r="I55" s="12" t="n">
        <x:v>41.422501</x:v>
      </x:c>
      <x:c r="J55" s="12" t="n">
        <x:v>15.020032</x:v>
      </x:c>
      <x:c r="K55" s="19" t="str">
        <x:v>Nel PDF è presente solo il link Google Maps</x:v>
      </x:c>
      <x:c r="L55" s="19" t="str">
        <x:v>EPSG:4326 - WGS84</x:v>
      </x:c>
      <x:c r="M55" s="19" t="str">
        <x:v>https://maps.app.goo.gl/he5LoFFddbcfVAPDA</x:v>
      </x:c>
      <x:c r="N55" s="19" t="str">
        <x:v>Asilo Nido-Micronido, Via Castelvetere</x:v>
      </x:c>
      <x:c r="O55" s="21"/>
      <x:c r="P55" s="19" t="str">
        <x:v>Non funzionante in quanto spaccato dal gelo</x:v>
      </x:c>
      <x:c r="Q55" s="19" t="str">
        <x:v>Decreto Commissario Straordinario n. 4 del 20/01/2017</x:v>
      </x:c>
      <x:c r="R55" s="21" t="n">
        <x:v>42755.5</x:v>
      </x:c>
      <x:c r="S55" s="22"/>
      <x:c r="T55" s="19" t="str">
        <x:v>Coordinate ricavate dal link Google Maps riportato nel PDF</x:v>
      </x:c>
      <x:c r="U55" s="19" t="str">
        <x:v>Presidi Antincendio aggiornati al 2026 - Comune di San Bartolomeo in Galdo.pdf</x:v>
      </x:c>
      <x:c r="V55" s="19" t="str">
        <x:v>3</x:v>
      </x:c>
      <x:c r="W55" s="19" t="str"/>
    </x:row>
    <x:row r="56">
      <x:c r="A56" s="11" t="str">
        <x:v>AIB-055</x:v>
      </x:c>
      <x:c r="B56" s="11" t="str">
        <x:v>Tocco Caudio</x:v>
      </x:c>
      <x:c r="C56" s="19" t="str">
        <x:v>Colonnina stradale attacco idranti</x:v>
      </x:c>
      <x:c r="D56" s="19" t="str">
        <x:v>Colonnina stradale attacco idranti</x:v>
      </x:c>
      <x:c r="E56" s="19" t="str">
        <x:v>Comune di Tocco Caudio</x:v>
      </x:c>
      <x:c r="F56" s="19" t="str"/>
      <x:c r="G56" s="19" t="str">
        <x:v>GESESA S.p.A.</x:v>
      </x:c>
      <x:c r="H56" s="19" t="str"/>
      <x:c r="I56" s="12" t="n">
        <x:v>41.126206</x:v>
      </x:c>
      <x:c r="J56" s="12" t="n">
        <x:v>14.635568</x:v>
      </x:c>
      <x:c r="K56" s="19" t="str">
        <x:v>41,126206; 14,635568</x:v>
      </x:c>
      <x:c r="L56" s="19" t="str">
        <x:v>EPSG:4326 - WGS84</x:v>
      </x:c>
      <x:c r="M56" s="19" t="str"/>
      <x:c r="N56" s="19" t="str">
        <x:v>Friuni</x:v>
      </x:c>
      <x:c r="O56" s="21" t="n">
        <x:v>44995.5</x:v>
      </x:c>
      <x:c r="P56" s="19" t="str"/>
      <x:c r="Q56" s="19" t="str">
        <x:v>D.C.C. n. 07/2024 del 30/04/2024</x:v>
      </x:c>
      <x:c r="R56" s="21" t="n">
        <x:v>45412.5</x:v>
      </x:c>
      <x:c r="S56" s="22"/>
      <x:c r="T56" s="19" t="str">
        <x:v>Coordinate riportate nel PDF</x:v>
      </x:c>
      <x:c r="U56" s="19" t="str">
        <x:v>Presidi Antincendio aggiornati al 2026 - Comune di Tocco Caudio.pdf</x:v>
      </x:c>
      <x:c r="V56" s="19" t="str">
        <x:v>1</x:v>
      </x:c>
      <x:c r="W56" s="19" t="str">
        <x:v>Link indicato come 'Foto n. 1'.</x:v>
      </x:c>
    </x:row>
    <x:row r="57">
      <x:c r="A57" s="11" t="str">
        <x:v>AIB-056</x:v>
      </x:c>
      <x:c r="B57" s="11" t="str">
        <x:v>Tocco Caudio</x:v>
      </x:c>
      <x:c r="C57" s="19" t="str">
        <x:v>Colonnina stradale attacco idranti</x:v>
      </x:c>
      <x:c r="D57" s="19" t="str">
        <x:v>Colonnina stradale attacco idranti</x:v>
      </x:c>
      <x:c r="E57" s="19" t="str">
        <x:v>Comune di Tocco Caudio</x:v>
      </x:c>
      <x:c r="F57" s="19" t="str"/>
      <x:c r="G57" s="19" t="str">
        <x:v>GESESA S.p.A.</x:v>
      </x:c>
      <x:c r="H57" s="19" t="str"/>
      <x:c r="I57" s="12" t="n">
        <x:v>41.126491</x:v>
      </x:c>
      <x:c r="J57" s="12" t="n">
        <x:v>14.627649</x:v>
      </x:c>
      <x:c r="K57" s="19" t="str">
        <x:v>41,126491; 14,627649</x:v>
      </x:c>
      <x:c r="L57" s="19" t="str">
        <x:v>EPSG:4326 - WGS84</x:v>
      </x:c>
      <x:c r="M57" s="19" t="str"/>
      <x:c r="N57" s="19" t="str">
        <x:v>La Riola</x:v>
      </x:c>
      <x:c r="O57" s="21" t="n">
        <x:v>44995.5</x:v>
      </x:c>
      <x:c r="P57" s="19" t="str"/>
      <x:c r="Q57" s="19" t="str">
        <x:v>D.C.C. n. 07/2024 del 30/04/2024</x:v>
      </x:c>
      <x:c r="R57" s="21" t="n">
        <x:v>45412.5</x:v>
      </x:c>
      <x:c r="S57" s="22"/>
      <x:c r="T57" s="19" t="str">
        <x:v>Coordinate riportate nel PDF</x:v>
      </x:c>
      <x:c r="U57" s="19" t="str">
        <x:v>Presidi Antincendio aggiornati al 2026 - Comune di Tocco Caudio.pdf</x:v>
      </x:c>
      <x:c r="V57" s="19" t="str">
        <x:v>1</x:v>
      </x:c>
      <x:c r="W57" s="19" t="str">
        <x:v>Link indicato come 'Foto n. 2'.</x:v>
      </x:c>
    </x:row>
    <x:row r="58">
      <x:c r="A58" s="11" t="str">
        <x:v>AIB-057</x:v>
      </x:c>
      <x:c r="B58" s="11" t="str">
        <x:v>Tocco Caudio</x:v>
      </x:c>
      <x:c r="C58" s="19" t="str">
        <x:v>Colonnina stradale attacco idranti</x:v>
      </x:c>
      <x:c r="D58" s="19" t="str">
        <x:v>Colonnina stradale attacco idranti</x:v>
      </x:c>
      <x:c r="E58" s="19" t="str">
        <x:v>Comune di Tocco Caudio</x:v>
      </x:c>
      <x:c r="F58" s="19" t="str"/>
      <x:c r="G58" s="19" t="str">
        <x:v>GESESA S.p.A.</x:v>
      </x:c>
      <x:c r="H58" s="19" t="str"/>
      <x:c r="I58" s="12" t="n">
        <x:v>41.126177</x:v>
      </x:c>
      <x:c r="J58" s="12" t="n">
        <x:v>14.62736</x:v>
      </x:c>
      <x:c r="K58" s="19" t="str">
        <x:v>41,126177; 14,627360</x:v>
      </x:c>
      <x:c r="L58" s="19" t="str">
        <x:v>EPSG:4326 - WGS84</x:v>
      </x:c>
      <x:c r="M58" s="19" t="str"/>
      <x:c r="N58" s="19" t="str">
        <x:v>La Riola</x:v>
      </x:c>
      <x:c r="O58" s="21" t="n">
        <x:v>44995.5</x:v>
      </x:c>
      <x:c r="P58" s="19" t="str"/>
      <x:c r="Q58" s="19" t="str">
        <x:v>D.C.C. n. 07/2024 del 30/04/2024</x:v>
      </x:c>
      <x:c r="R58" s="21" t="n">
        <x:v>45412.5</x:v>
      </x:c>
      <x:c r="S58" s="22"/>
      <x:c r="T58" s="19" t="str">
        <x:v>Coordinate riportate nel PDF</x:v>
      </x:c>
      <x:c r="U58" s="19" t="str">
        <x:v>Presidi Antincendio aggiornati al 2026 - Comune di Tocco Caudio.pdf</x:v>
      </x:c>
      <x:c r="V58" s="19" t="str">
        <x:v>1</x:v>
      </x:c>
      <x:c r="W58" s="19" t="str">
        <x:v>Link indicato come 'Foto n. 3'.</x:v>
      </x:c>
    </x:row>
    <x:row r="59">
      <x:c r="A59" s="11" t="str">
        <x:v>AIB-058</x:v>
      </x:c>
      <x:c r="B59" s="11" t="str">
        <x:v>Vitulano</x:v>
      </x:c>
      <x:c r="C59" s="19" t="str">
        <x:v>Idrante</x:v>
      </x:c>
      <x:c r="D59" s="19" t="str">
        <x:v>Idrante Viale San Pietro</x:v>
      </x:c>
      <x:c r="E59" s="19" t="str">
        <x:v>Comune di Vitulano - gestore GESESA</x:v>
      </x:c>
      <x:c r="F59" s="19" t="str"/>
      <x:c r="G59" s="19" t="str">
        <x:v>Numero verde GESESA</x:v>
      </x:c>
      <x:c r="H59" s="19" t="str">
        <x:v>800511717</x:v>
      </x:c>
      <x:c r="I59" s="12" t="n">
        <x:v>41.17403833458809</x:v>
      </x:c>
      <x:c r="J59" s="12" t="n">
        <x:v>14.648412875175763</x:v>
      </x:c>
      <x:c r="K59" s="19" t="str">
        <x:v>41.17403833458809, 14.648412875175763</x:v>
      </x:c>
      <x:c r="L59" s="19" t="str">
        <x:v>EPSG:4326 - WGS84</x:v>
      </x:c>
      <x:c r="M59" s="19" t="str"/>
      <x:c r="N59" s="19" t="str">
        <x:v>Viale San Pietro</x:v>
      </x:c>
      <x:c r="O59" s="21"/>
      <x:c r="P59" s="19" t="str"/>
      <x:c r="Q59" s="19" t="str">
        <x:v>D.G.C. n. 32 del 29/12/2015</x:v>
      </x:c>
      <x:c r="R59" s="21" t="n">
        <x:v>42367.5</x:v>
      </x:c>
      <x:c r="S59" s="22"/>
      <x:c r="T59" s="19" t="str">
        <x:v>Coordinate riportate nel PDF</x:v>
      </x:c>
      <x:c r="U59" s="19" t="str">
        <x:v>Presidi Antincendo aggiornati al 2026 - Comune di Vitulano.pdf</x:v>
      </x:c>
      <x:c r="V59" s="19" t="str">
        <x:v>1</x:v>
      </x:c>
      <x:c r="W59" s="19" t="str"/>
    </x:row>
    <x:row r="60">
      <x:c r="A60" s="15" t="str">
        <x:v>AIB-059</x:v>
      </x:c>
      <x:c r="B60" s="15" t="str">
        <x:v>Vitulano</x:v>
      </x:c>
      <x:c r="C60" s="20" t="str">
        <x:v>Idrante</x:v>
      </x:c>
      <x:c r="D60" s="20" t="str">
        <x:v>Idrante Via Braganelli</x:v>
      </x:c>
      <x:c r="E60" s="20" t="str">
        <x:v>Comune di Vitulano - gestore GESESA</x:v>
      </x:c>
      <x:c r="F60" s="20" t="str"/>
      <x:c r="G60" s="20" t="str">
        <x:v>Numero verde GESESA</x:v>
      </x:c>
      <x:c r="H60" s="20" t="str">
        <x:v>800511717</x:v>
      </x:c>
      <x:c r="I60" s="16" t="n">
        <x:v>41.17422924073431</x:v>
      </x:c>
      <x:c r="J60" s="16" t="n">
        <x:v>14.64298550175099</x:v>
      </x:c>
      <x:c r="K60" s="20" t="str">
        <x:v>41.17422924073431, 14.64298550175099</x:v>
      </x:c>
      <x:c r="L60" s="20" t="str">
        <x:v>EPSG:4326 - WGS84</x:v>
      </x:c>
      <x:c r="M60" s="20" t="str"/>
      <x:c r="N60" s="20" t="str">
        <x:v>Viale Braganelli</x:v>
      </x:c>
      <x:c r="O60" s="23"/>
      <x:c r="P60" s="20" t="str"/>
      <x:c r="Q60" s="20" t="str">
        <x:v>D.G.C. n. 32 del 29/12/2015</x:v>
      </x:c>
      <x:c r="R60" s="23" t="n">
        <x:v>42367.5</x:v>
      </x:c>
      <x:c r="S60" s="24"/>
      <x:c r="T60" s="20" t="str">
        <x:v>Coordinate riportate nel PDF</x:v>
      </x:c>
      <x:c r="U60" s="20" t="str">
        <x:v>Presidi Antincendo aggiornati al 2026 - Comune di Vitulano.pdf</x:v>
      </x:c>
      <x:c r="V60" s="20" t="str">
        <x:v>1</x:v>
      </x:c>
      <x:c r="W60" s="20" t="str"/>
    </x:row>
  </x:sheetData>
  <x:pageMargins left="0.7" right="0.7" top="0.75" bottom="0.75" header="0.3" footer="0.3"/>
  <x:tableParts count="1">
    <x:tablePart xmlns:r="http://schemas.openxmlformats.org/officeDocument/2006/relationships" r:id="R84127bb0f4fe4bc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21" hidden="0" customWidth="1"/>
    <x:col min="4" max="4" width="20" hidden="0" customWidth="1"/>
    <x:col min="5" max="5" width="21" hidden="0" customWidth="1"/>
    <x:col min="6" max="6" width="22" hidden="0" customWidth="1"/>
  </x:cols>
  <x:sheetData>
    <x:row r="1" ht="32" customHeight="1">
      <x:c r="A1" s="27" t="str">
        <x:v>Presidi antincendio AIB 2026 - quadro riepilogativo</x:v>
      </x:c>
      <x:c r="B1" s="27"/>
      <x:c r="C1" s="27"/>
      <x:c r="D1" s="27"/>
      <x:c r="E1" s="27"/>
      <x:c r="F1" s="27"/>
    </x:row>
    <x:row r="3">
      <x:c r="A3" s="31" t="str">
        <x:v>Totale presidi</x:v>
      </x:c>
      <x:c r="B3" s="31" t="str">
        <x:v>Comuni</x:v>
      </x:c>
      <x:c r="C3" s="31" t="str">
        <x:v>Coordinate complete</x:v>
      </x:c>
      <x:c r="D3" s="31" t="str">
        <x:v>Coordinate da link</x:v>
      </x:c>
      <x:c r="E3" s="31" t="str">
        <x:v>Senza data controllo</x:v>
      </x:c>
      <x:c r="F3" s="31" t="str">
        <x:v>CRS</x:v>
      </x:c>
    </x:row>
    <x:row r="4">
      <x:c r="A4" s="34" t="n">
        <x:f>COUNTA('Dati GIS'!$A$2:$A$60)</x:f>
        <x:v>59</x:v>
      </x:c>
      <x:c r="B4" s="34" t="n">
        <x:f>COUNTA($A$8:$A$25)</x:f>
        <x:v>18</x:v>
      </x:c>
      <x:c r="C4" s="34" t="n">
        <x:f>COUNTIFS('Dati GIS'!$I$2:$I$60,"&lt;&gt;",'Dati GIS'!$J$2:$J$60,"&lt;&gt;")</x:f>
        <x:v>59</x:v>
      </x:c>
      <x:c r="D4" s="34" t="n">
        <x:f>COUNTIF('Dati GIS'!$T$2:$T$60,"Coordinate ricavate dal link Google Maps riportato nel PDF")</x:f>
        <x:v>16</x:v>
      </x:c>
      <x:c r="E4" s="34" t="n">
        <x:f>COUNTBLANK('Dati GIS'!$O$2:$O$60)</x:f>
        <x:v>45</x:v>
      </x:c>
      <x:c r="F4" s="34" t="str">
        <x:v>EPSG:4326</x:v>
      </x:c>
    </x:row>
    <x:row r="7">
      <x:c r="A7" s="35" t="str">
        <x:v>Comune</x:v>
      </x:c>
      <x:c r="B7" s="35" t="str">
        <x:v>Presidi</x:v>
      </x:c>
      <x:c r="C7" s="35" t="str">
        <x:v>Coordinate complete</x:v>
      </x:c>
      <x:c r="D7" s="35" t="str">
        <x:v>Da link Google Maps</x:v>
      </x:c>
      <x:c r="E7" s="35" t="str">
        <x:v>Senza data controllo</x:v>
      </x:c>
      <x:c r="F7" s="35" t="str">
        <x:v>Con note di efficienza</x:v>
      </x:c>
    </x:row>
    <x:row r="8">
      <x:c r="A8" s="36" t="str">
        <x:v>Apollosa</x:v>
      </x:c>
      <x:c r="B8" s="36" t="n">
        <x:f>COUNTIF('Dati GIS'!$B$2:$B$60,A8)</x:f>
        <x:v>3</x:v>
      </x:c>
      <x:c r="C8" s="36" t="n">
        <x:f>COUNTIFS('Dati GIS'!$B$2:$B$60,A8,'Dati GIS'!$I$2:$I$60,"&lt;&gt;",'Dati GIS'!$J$2:$J$60,"&lt;&gt;")</x:f>
        <x:v>3</x:v>
      </x:c>
      <x:c r="D8" s="36" t="n">
        <x:f>COUNTIFS('Dati GIS'!$B$2:$B$60,A8,'Dati GIS'!$T$2:$T$60,"Coordinate ricavate dal link Google Maps riportato nel PDF")</x:f>
        <x:v>0</x:v>
      </x:c>
      <x:c r="E8" s="36" t="n">
        <x:f>B8-COUNTIFS('Dati GIS'!$B$2:$B$60,A8,'Dati GIS'!$O$2:$O$60,"&gt;0")</x:f>
        <x:v>3</x:v>
      </x:c>
      <x:c r="F8" s="36" t="n">
        <x:f>COUNTIFS('Dati GIS'!$B$2:$B$60,A8,'Dati GIS'!$P$2:$P$60,"N.D.")+COUNTIFS('Dati GIS'!$B$2:$B$60,A8,'Dati GIS'!$P$2:$P$60,"Data del controllo non disponibile")+COUNTIFS('Dati GIS'!$B$2:$B$60,A8,'Dati GIS'!$P$2:$P$60,"Non funzionante in quanto spaccato dal gelo")+COUNTIFS('Dati GIS'!$B$2:$B$60,A8,'Dati GIS'!$P$2:$P$60,"Nel campo controllo è riportata la dicitura 'Data di controllo e certificazione di efficienza del presidio', senza data")</x:f>
        <x:v>0</x:v>
      </x:c>
    </x:row>
    <x:row r="9">
      <x:c r="A9" s="36" t="str">
        <x:v>Bonea</x:v>
      </x:c>
      <x:c r="B9" s="36" t="n">
        <x:f>COUNTIF('Dati GIS'!$B$2:$B$60,A9)</x:f>
        <x:v>2</x:v>
      </x:c>
      <x:c r="C9" s="36" t="n">
        <x:f>COUNTIFS('Dati GIS'!$B$2:$B$60,A9,'Dati GIS'!$I$2:$I$60,"&lt;&gt;",'Dati GIS'!$J$2:$J$60,"&lt;&gt;")</x:f>
        <x:v>2</x:v>
      </x:c>
      <x:c r="D9" s="36" t="n">
        <x:f>COUNTIFS('Dati GIS'!$B$2:$B$60,A9,'Dati GIS'!$T$2:$T$60,"Coordinate ricavate dal link Google Maps riportato nel PDF")</x:f>
        <x:v>0</x:v>
      </x:c>
      <x:c r="E9" s="36" t="n">
        <x:f>B9-COUNTIFS('Dati GIS'!$B$2:$B$60,A9,'Dati GIS'!$O$2:$O$60,"&gt;0")</x:f>
        <x:v>1</x:v>
      </x:c>
      <x:c r="F9" s="36" t="n">
        <x:f>COUNTIFS('Dati GIS'!$B$2:$B$60,A9,'Dati GIS'!$P$2:$P$60,"N.D.")+COUNTIFS('Dati GIS'!$B$2:$B$60,A9,'Dati GIS'!$P$2:$P$60,"Data del controllo non disponibile")+COUNTIFS('Dati GIS'!$B$2:$B$60,A9,'Dati GIS'!$P$2:$P$60,"Non funzionante in quanto spaccato dal gelo")+COUNTIFS('Dati GIS'!$B$2:$B$60,A9,'Dati GIS'!$P$2:$P$60,"Nel campo controllo è riportata la dicitura 'Data di controllo e certificazione di efficienza del presidio', senza data")</x:f>
        <x:v>0</x:v>
      </x:c>
    </x:row>
    <x:row r="10">
      <x:c r="A10" s="36" t="str">
        <x:v>Bucciano</x:v>
      </x:c>
      <x:c r="B10" s="36" t="n">
        <x:f>COUNTIF('Dati GIS'!$B$2:$B$60,A10)</x:f>
        <x:v>1</x:v>
      </x:c>
      <x:c r="C10" s="36" t="n">
        <x:f>COUNTIFS('Dati GIS'!$B$2:$B$60,A10,'Dati GIS'!$I$2:$I$60,"&lt;&gt;",'Dati GIS'!$J$2:$J$60,"&lt;&gt;")</x:f>
        <x:v>1</x:v>
      </x:c>
      <x:c r="D10" s="36" t="n">
        <x:f>COUNTIFS('Dati GIS'!$B$2:$B$60,A10,'Dati GIS'!$T$2:$T$60,"Coordinate ricavate dal link Google Maps riportato nel PDF")</x:f>
        <x:v>0</x:v>
      </x:c>
      <x:c r="E10" s="36" t="n">
        <x:f>B10-COUNTIFS('Dati GIS'!$B$2:$B$60,A10,'Dati GIS'!$O$2:$O$60,"&gt;0")</x:f>
        <x:v>0</x:v>
      </x:c>
      <x:c r="F10" s="36" t="n">
        <x:f>COUNTIFS('Dati GIS'!$B$2:$B$60,A10,'Dati GIS'!$P$2:$P$60,"N.D.")+COUNTIFS('Dati GIS'!$B$2:$B$60,A10,'Dati GIS'!$P$2:$P$60,"Data del controllo non disponibile")+COUNTIFS('Dati GIS'!$B$2:$B$60,A10,'Dati GIS'!$P$2:$P$60,"Non funzionante in quanto spaccato dal gelo")+COUNTIFS('Dati GIS'!$B$2:$B$60,A10,'Dati GIS'!$P$2:$P$60,"Nel campo controllo è riportata la dicitura 'Data di controllo e certificazione di efficienza del presidio', senza data")</x:f>
        <x:v>0</x:v>
      </x:c>
    </x:row>
    <x:row r="11">
      <x:c r="A11" s="36" t="str">
        <x:v>Campolattaro</x:v>
      </x:c>
      <x:c r="B11" s="36" t="n">
        <x:f>COUNTIF('Dati GIS'!$B$2:$B$60,A11)</x:f>
        <x:v>1</x:v>
      </x:c>
      <x:c r="C11" s="36" t="n">
        <x:f>COUNTIFS('Dati GIS'!$B$2:$B$60,A11,'Dati GIS'!$I$2:$I$60,"&lt;&gt;",'Dati GIS'!$J$2:$J$60,"&lt;&gt;")</x:f>
        <x:v>1</x:v>
      </x:c>
      <x:c r="D11" s="36" t="n">
        <x:f>COUNTIFS('Dati GIS'!$B$2:$B$60,A11,'Dati GIS'!$T$2:$T$60,"Coordinate ricavate dal link Google Maps riportato nel PDF")</x:f>
        <x:v>0</x:v>
      </x:c>
      <x:c r="E11" s="36" t="n">
        <x:f>B11-COUNTIFS('Dati GIS'!$B$2:$B$60,A11,'Dati GIS'!$O$2:$O$60,"&gt;0")</x:f>
        <x:v>1</x:v>
      </x:c>
      <x:c r="F11" s="36" t="n">
        <x:f>COUNTIFS('Dati GIS'!$B$2:$B$60,A11,'Dati GIS'!$P$2:$P$60,"N.D.")+COUNTIFS('Dati GIS'!$B$2:$B$60,A11,'Dati GIS'!$P$2:$P$60,"Data del controllo non disponibile")+COUNTIFS('Dati GIS'!$B$2:$B$60,A11,'Dati GIS'!$P$2:$P$60,"Non funzionante in quanto spaccato dal gelo")+COUNTIFS('Dati GIS'!$B$2:$B$60,A11,'Dati GIS'!$P$2:$P$60,"Nel campo controllo è riportata la dicitura 'Data di controllo e certificazione di efficienza del presidio', senza data")</x:f>
        <x:v>1</x:v>
      </x:c>
    </x:row>
    <x:row r="12">
      <x:c r="A12" s="36" t="str">
        <x:v>Campoli del Monte Taburno</x:v>
      </x:c>
      <x:c r="B12" s="36" t="n">
        <x:f>COUNTIF('Dati GIS'!$B$2:$B$60,A12)</x:f>
        <x:v>4</x:v>
      </x:c>
      <x:c r="C12" s="36" t="n">
        <x:f>COUNTIFS('Dati GIS'!$B$2:$B$60,A12,'Dati GIS'!$I$2:$I$60,"&lt;&gt;",'Dati GIS'!$J$2:$J$60,"&lt;&gt;")</x:f>
        <x:v>4</x:v>
      </x:c>
      <x:c r="D12" s="36" t="n">
        <x:f>COUNTIFS('Dati GIS'!$B$2:$B$60,A12,'Dati GIS'!$T$2:$T$60,"Coordinate ricavate dal link Google Maps riportato nel PDF")</x:f>
        <x:v>0</x:v>
      </x:c>
      <x:c r="E12" s="36" t="n">
        <x:f>B12-COUNTIFS('Dati GIS'!$B$2:$B$60,A12,'Dati GIS'!$O$2:$O$60,"&gt;0")</x:f>
        <x:v>4</x:v>
      </x:c>
      <x:c r="F12" s="36" t="n">
        <x:f>COUNTIFS('Dati GIS'!$B$2:$B$60,A12,'Dati GIS'!$P$2:$P$60,"N.D.")+COUNTIFS('Dati GIS'!$B$2:$B$60,A12,'Dati GIS'!$P$2:$P$60,"Data del controllo non disponibile")+COUNTIFS('Dati GIS'!$B$2:$B$60,A12,'Dati GIS'!$P$2:$P$60,"Non funzionante in quanto spaccato dal gelo")+COUNTIFS('Dati GIS'!$B$2:$B$60,A12,'Dati GIS'!$P$2:$P$60,"Nel campo controllo è riportata la dicitura 'Data di controllo e certificazione di efficienza del presidio', senza data")</x:f>
        <x:v>0</x:v>
      </x:c>
    </x:row>
    <x:row r="13">
      <x:c r="A13" s="36" t="str">
        <x:v>Casalduni</x:v>
      </x:c>
      <x:c r="B13" s="36" t="n">
        <x:f>COUNTIF('Dati GIS'!$B$2:$B$60,A13)</x:f>
        <x:v>2</x:v>
      </x:c>
      <x:c r="C13" s="36" t="n">
        <x:f>COUNTIFS('Dati GIS'!$B$2:$B$60,A13,'Dati GIS'!$I$2:$I$60,"&lt;&gt;",'Dati GIS'!$J$2:$J$60,"&lt;&gt;")</x:f>
        <x:v>2</x:v>
      </x:c>
      <x:c r="D13" s="36" t="n">
        <x:f>COUNTIFS('Dati GIS'!$B$2:$B$60,A13,'Dati GIS'!$T$2:$T$60,"Coordinate ricavate dal link Google Maps riportato nel PDF")</x:f>
        <x:v>0</x:v>
      </x:c>
      <x:c r="E13" s="36" t="n">
        <x:f>B13-COUNTIFS('Dati GIS'!$B$2:$B$60,A13,'Dati GIS'!$O$2:$O$60,"&gt;0")</x:f>
        <x:v>0</x:v>
      </x:c>
      <x:c r="F13" s="36" t="n">
        <x:f>COUNTIFS('Dati GIS'!$B$2:$B$60,A13,'Dati GIS'!$P$2:$P$60,"N.D.")+COUNTIFS('Dati GIS'!$B$2:$B$60,A13,'Dati GIS'!$P$2:$P$60,"Data del controllo non disponibile")+COUNTIFS('Dati GIS'!$B$2:$B$60,A13,'Dati GIS'!$P$2:$P$60,"Non funzionante in quanto spaccato dal gelo")+COUNTIFS('Dati GIS'!$B$2:$B$60,A13,'Dati GIS'!$P$2:$P$60,"Nel campo controllo è riportata la dicitura 'Data di controllo e certificazione di efficienza del presidio', senza data")</x:f>
        <x:v>0</x:v>
      </x:c>
    </x:row>
    <x:row r="14">
      <x:c r="A14" s="36" t="str">
        <x:v>Colle Sannita</x:v>
      </x:c>
      <x:c r="B14" s="36" t="n">
        <x:f>COUNTIF('Dati GIS'!$B$2:$B$60,A14)</x:f>
        <x:v>14</x:v>
      </x:c>
      <x:c r="C14" s="36" t="n">
        <x:f>COUNTIFS('Dati GIS'!$B$2:$B$60,A14,'Dati GIS'!$I$2:$I$60,"&lt;&gt;",'Dati GIS'!$J$2:$J$60,"&lt;&gt;")</x:f>
        <x:v>14</x:v>
      </x:c>
      <x:c r="D14" s="36" t="n">
        <x:f>COUNTIFS('Dati GIS'!$B$2:$B$60,A14,'Dati GIS'!$T$2:$T$60,"Coordinate ricavate dal link Google Maps riportato nel PDF")</x:f>
        <x:v>0</x:v>
      </x:c>
      <x:c r="E14" s="36" t="n">
        <x:f>B14-COUNTIFS('Dati GIS'!$B$2:$B$60,A14,'Dati GIS'!$O$2:$O$60,"&gt;0")</x:f>
        <x:v>14</x:v>
      </x:c>
      <x:c r="F14" s="36" t="n">
        <x:f>COUNTIFS('Dati GIS'!$B$2:$B$60,A14,'Dati GIS'!$P$2:$P$60,"N.D.")+COUNTIFS('Dati GIS'!$B$2:$B$60,A14,'Dati GIS'!$P$2:$P$60,"Data del controllo non disponibile")+COUNTIFS('Dati GIS'!$B$2:$B$60,A14,'Dati GIS'!$P$2:$P$60,"Non funzionante in quanto spaccato dal gelo")+COUNTIFS('Dati GIS'!$B$2:$B$60,A14,'Dati GIS'!$P$2:$P$60,"Nel campo controllo è riportata la dicitura 'Data di controllo e certificazione di efficienza del presidio', senza data")</x:f>
        <x:v>0</x:v>
      </x:c>
    </x:row>
    <x:row r="15">
      <x:c r="A15" s="36" t="str">
        <x:v>Cusano Mutri</x:v>
      </x:c>
      <x:c r="B15" s="36" t="n">
        <x:f>COUNTIF('Dati GIS'!$B$2:$B$60,A15)</x:f>
        <x:v>3</x:v>
      </x:c>
      <x:c r="C15" s="36" t="n">
        <x:f>COUNTIFS('Dati GIS'!$B$2:$B$60,A15,'Dati GIS'!$I$2:$I$60,"&lt;&gt;",'Dati GIS'!$J$2:$J$60,"&lt;&gt;")</x:f>
        <x:v>3</x:v>
      </x:c>
      <x:c r="D15" s="36" t="n">
        <x:f>COUNTIFS('Dati GIS'!$B$2:$B$60,A15,'Dati GIS'!$T$2:$T$60,"Coordinate ricavate dal link Google Maps riportato nel PDF")</x:f>
        <x:v>0</x:v>
      </x:c>
      <x:c r="E15" s="36" t="n">
        <x:f>B15-COUNTIFS('Dati GIS'!$B$2:$B$60,A15,'Dati GIS'!$O$2:$O$60,"&gt;0")</x:f>
        <x:v>0</x:v>
      </x:c>
      <x:c r="F15" s="36" t="n">
        <x:f>COUNTIFS('Dati GIS'!$B$2:$B$60,A15,'Dati GIS'!$P$2:$P$60,"N.D.")+COUNTIFS('Dati GIS'!$B$2:$B$60,A15,'Dati GIS'!$P$2:$P$60,"Data del controllo non disponibile")+COUNTIFS('Dati GIS'!$B$2:$B$60,A15,'Dati GIS'!$P$2:$P$60,"Non funzionante in quanto spaccato dal gelo")+COUNTIFS('Dati GIS'!$B$2:$B$60,A15,'Dati GIS'!$P$2:$P$60,"Nel campo controllo è riportata la dicitura 'Data di controllo e certificazione di efficienza del presidio', senza data")</x:f>
        <x:v>0</x:v>
      </x:c>
    </x:row>
    <x:row r="16">
      <x:c r="A16" s="36" t="str">
        <x:v>Foiano di Val Fortore</x:v>
      </x:c>
      <x:c r="B16" s="36" t="n">
        <x:f>COUNTIF('Dati GIS'!$B$2:$B$60,A16)</x:f>
        <x:v>13</x:v>
      </x:c>
      <x:c r="C16" s="36" t="n">
        <x:f>COUNTIFS('Dati GIS'!$B$2:$B$60,A16,'Dati GIS'!$I$2:$I$60,"&lt;&gt;",'Dati GIS'!$J$2:$J$60,"&lt;&gt;")</x:f>
        <x:v>13</x:v>
      </x:c>
      <x:c r="D16" s="36" t="n">
        <x:f>COUNTIFS('Dati GIS'!$B$2:$B$60,A16,'Dati GIS'!$T$2:$T$60,"Coordinate ricavate dal link Google Maps riportato nel PDF")</x:f>
        <x:v>13</x:v>
      </x:c>
      <x:c r="E16" s="36" t="n">
        <x:f>B16-COUNTIFS('Dati GIS'!$B$2:$B$60,A16,'Dati GIS'!$O$2:$O$60,"&gt;0")</x:f>
        <x:v>13</x:v>
      </x:c>
      <x:c r="F16" s="36" t="n">
        <x:f>COUNTIFS('Dati GIS'!$B$2:$B$60,A16,'Dati GIS'!$P$2:$P$60,"N.D.")+COUNTIFS('Dati GIS'!$B$2:$B$60,A16,'Dati GIS'!$P$2:$P$60,"Data del controllo non disponibile")+COUNTIFS('Dati GIS'!$B$2:$B$60,A16,'Dati GIS'!$P$2:$P$60,"Non funzionante in quanto spaccato dal gelo")+COUNTIFS('Dati GIS'!$B$2:$B$60,A16,'Dati GIS'!$P$2:$P$60,"Nel campo controllo è riportata la dicitura 'Data di controllo e certificazione di efficienza del presidio', senza data")</x:f>
        <x:v>13</x:v>
      </x:c>
    </x:row>
    <x:row r="17">
      <x:c r="A17" s="36" t="str">
        <x:v>Forchia</x:v>
      </x:c>
      <x:c r="B17" s="36" t="n">
        <x:f>COUNTIF('Dati GIS'!$B$2:$B$60,A17)</x:f>
        <x:v>1</x:v>
      </x:c>
      <x:c r="C17" s="36" t="n">
        <x:f>COUNTIFS('Dati GIS'!$B$2:$B$60,A17,'Dati GIS'!$I$2:$I$60,"&lt;&gt;",'Dati GIS'!$J$2:$J$60,"&lt;&gt;")</x:f>
        <x:v>1</x:v>
      </x:c>
      <x:c r="D17" s="36" t="n">
        <x:f>COUNTIFS('Dati GIS'!$B$2:$B$60,A17,'Dati GIS'!$T$2:$T$60,"Coordinate ricavate dal link Google Maps riportato nel PDF")</x:f>
        <x:v>0</x:v>
      </x:c>
      <x:c r="E17" s="36" t="n">
        <x:f>B17-COUNTIFS('Dati GIS'!$B$2:$B$60,A17,'Dati GIS'!$O$2:$O$60,"&gt;0")</x:f>
        <x:v>0</x:v>
      </x:c>
      <x:c r="F17" s="36" t="n">
        <x:f>COUNTIFS('Dati GIS'!$B$2:$B$60,A17,'Dati GIS'!$P$2:$P$60,"N.D.")+COUNTIFS('Dati GIS'!$B$2:$B$60,A17,'Dati GIS'!$P$2:$P$60,"Data del controllo non disponibile")+COUNTIFS('Dati GIS'!$B$2:$B$60,A17,'Dati GIS'!$P$2:$P$60,"Non funzionante in quanto spaccato dal gelo")+COUNTIFS('Dati GIS'!$B$2:$B$60,A17,'Dati GIS'!$P$2:$P$60,"Nel campo controllo è riportata la dicitura 'Data di controllo e certificazione di efficienza del presidio', senza data")</x:f>
        <x:v>0</x:v>
      </x:c>
    </x:row>
    <x:row r="18">
      <x:c r="A18" s="36" t="str">
        <x:v>Frasso Telesino</x:v>
      </x:c>
      <x:c r="B18" s="36" t="n">
        <x:f>COUNTIF('Dati GIS'!$B$2:$B$60,A18)</x:f>
        <x:v>1</x:v>
      </x:c>
      <x:c r="C18" s="36" t="n">
        <x:f>COUNTIFS('Dati GIS'!$B$2:$B$60,A18,'Dati GIS'!$I$2:$I$60,"&lt;&gt;",'Dati GIS'!$J$2:$J$60,"&lt;&gt;")</x:f>
        <x:v>1</x:v>
      </x:c>
      <x:c r="D18" s="36" t="n">
        <x:f>COUNTIFS('Dati GIS'!$B$2:$B$60,A18,'Dati GIS'!$T$2:$T$60,"Coordinate ricavate dal link Google Maps riportato nel PDF")</x:f>
        <x:v>0</x:v>
      </x:c>
      <x:c r="E18" s="36" t="n">
        <x:f>B18-COUNTIFS('Dati GIS'!$B$2:$B$60,A18,'Dati GIS'!$O$2:$O$60,"&gt;0")</x:f>
        <x:v>1</x:v>
      </x:c>
      <x:c r="F18" s="36" t="n">
        <x:f>COUNTIFS('Dati GIS'!$B$2:$B$60,A18,'Dati GIS'!$P$2:$P$60,"N.D.")+COUNTIFS('Dati GIS'!$B$2:$B$60,A18,'Dati GIS'!$P$2:$P$60,"Data del controllo non disponibile")+COUNTIFS('Dati GIS'!$B$2:$B$60,A18,'Dati GIS'!$P$2:$P$60,"Non funzionante in quanto spaccato dal gelo")+COUNTIFS('Dati GIS'!$B$2:$B$60,A18,'Dati GIS'!$P$2:$P$60,"Nel campo controllo è riportata la dicitura 'Data di controllo e certificazione di efficienza del presidio', senza data")</x:f>
        <x:v>0</x:v>
      </x:c>
    </x:row>
    <x:row r="19">
      <x:c r="A19" s="36" t="str">
        <x:v>Guardia Sanframondi</x:v>
      </x:c>
      <x:c r="B19" s="36" t="n">
        <x:f>COUNTIF('Dati GIS'!$B$2:$B$60,A19)</x:f>
        <x:v>2</x:v>
      </x:c>
      <x:c r="C19" s="36" t="n">
        <x:f>COUNTIFS('Dati GIS'!$B$2:$B$60,A19,'Dati GIS'!$I$2:$I$60,"&lt;&gt;",'Dati GIS'!$J$2:$J$60,"&lt;&gt;")</x:f>
        <x:v>2</x:v>
      </x:c>
      <x:c r="D19" s="36" t="n">
        <x:f>COUNTIFS('Dati GIS'!$B$2:$B$60,A19,'Dati GIS'!$T$2:$T$60,"Coordinate ricavate dal link Google Maps riportato nel PDF")</x:f>
        <x:v>0</x:v>
      </x:c>
      <x:c r="E19" s="36" t="n">
        <x:f>B19-COUNTIFS('Dati GIS'!$B$2:$B$60,A19,'Dati GIS'!$O$2:$O$60,"&gt;0")</x:f>
        <x:v>2</x:v>
      </x:c>
      <x:c r="F19" s="36" t="n">
        <x:f>COUNTIFS('Dati GIS'!$B$2:$B$60,A19,'Dati GIS'!$P$2:$P$60,"N.D.")+COUNTIFS('Dati GIS'!$B$2:$B$60,A19,'Dati GIS'!$P$2:$P$60,"Data del controllo non disponibile")+COUNTIFS('Dati GIS'!$B$2:$B$60,A19,'Dati GIS'!$P$2:$P$60,"Non funzionante in quanto spaccato dal gelo")+COUNTIFS('Dati GIS'!$B$2:$B$60,A19,'Dati GIS'!$P$2:$P$60,"Nel campo controllo è riportata la dicitura 'Data di controllo e certificazione di efficienza del presidio', senza data")</x:f>
        <x:v>0</x:v>
      </x:c>
    </x:row>
    <x:row r="20">
      <x:c r="A20" s="36" t="str">
        <x:v>Melizzano</x:v>
      </x:c>
      <x:c r="B20" s="36" t="n">
        <x:f>COUNTIF('Dati GIS'!$B$2:$B$60,A20)</x:f>
        <x:v>1</x:v>
      </x:c>
      <x:c r="C20" s="36" t="n">
        <x:f>COUNTIFS('Dati GIS'!$B$2:$B$60,A20,'Dati GIS'!$I$2:$I$60,"&lt;&gt;",'Dati GIS'!$J$2:$J$60,"&lt;&gt;")</x:f>
        <x:v>1</x:v>
      </x:c>
      <x:c r="D20" s="36" t="n">
        <x:f>COUNTIFS('Dati GIS'!$B$2:$B$60,A20,'Dati GIS'!$T$2:$T$60,"Coordinate ricavate dal link Google Maps riportato nel PDF")</x:f>
        <x:v>0</x:v>
      </x:c>
      <x:c r="E20" s="36" t="n">
        <x:f>B20-COUNTIFS('Dati GIS'!$B$2:$B$60,A20,'Dati GIS'!$O$2:$O$60,"&gt;0")</x:f>
        <x:v>1</x:v>
      </x:c>
      <x:c r="F20" s="36" t="n">
        <x:f>COUNTIFS('Dati GIS'!$B$2:$B$60,A20,'Dati GIS'!$P$2:$P$60,"N.D.")+COUNTIFS('Dati GIS'!$B$2:$B$60,A20,'Dati GIS'!$P$2:$P$60,"Data del controllo non disponibile")+COUNTIFS('Dati GIS'!$B$2:$B$60,A20,'Dati GIS'!$P$2:$P$60,"Non funzionante in quanto spaccato dal gelo")+COUNTIFS('Dati GIS'!$B$2:$B$60,A20,'Dati GIS'!$P$2:$P$60,"Nel campo controllo è riportata la dicitura 'Data di controllo e certificazione di efficienza del presidio', senza data")</x:f>
        <x:v>0</x:v>
      </x:c>
    </x:row>
    <x:row r="21">
      <x:c r="A21" s="36" t="str">
        <x:v>Paupisi</x:v>
      </x:c>
      <x:c r="B21" s="36" t="n">
        <x:f>COUNTIF('Dati GIS'!$B$2:$B$60,A21)</x:f>
        <x:v>1</x:v>
      </x:c>
      <x:c r="C21" s="36" t="n">
        <x:f>COUNTIFS('Dati GIS'!$B$2:$B$60,A21,'Dati GIS'!$I$2:$I$60,"&lt;&gt;",'Dati GIS'!$J$2:$J$60,"&lt;&gt;")</x:f>
        <x:v>1</x:v>
      </x:c>
      <x:c r="D21" s="36" t="n">
        <x:f>COUNTIFS('Dati GIS'!$B$2:$B$60,A21,'Dati GIS'!$T$2:$T$60,"Coordinate ricavate dal link Google Maps riportato nel PDF")</x:f>
        <x:v>0</x:v>
      </x:c>
      <x:c r="E21" s="36" t="n">
        <x:f>B21-COUNTIFS('Dati GIS'!$B$2:$B$60,A21,'Dati GIS'!$O$2:$O$60,"&gt;0")</x:f>
        <x:v>0</x:v>
      </x:c>
      <x:c r="F21" s="36" t="n">
        <x:f>COUNTIFS('Dati GIS'!$B$2:$B$60,A21,'Dati GIS'!$P$2:$P$60,"N.D.")+COUNTIFS('Dati GIS'!$B$2:$B$60,A21,'Dati GIS'!$P$2:$P$60,"Data del controllo non disponibile")+COUNTIFS('Dati GIS'!$B$2:$B$60,A21,'Dati GIS'!$P$2:$P$60,"Non funzionante in quanto spaccato dal gelo")+COUNTIFS('Dati GIS'!$B$2:$B$60,A21,'Dati GIS'!$P$2:$P$60,"Nel campo controllo è riportata la dicitura 'Data di controllo e certificazione di efficienza del presidio', senza data")</x:f>
        <x:v>0</x:v>
      </x:c>
    </x:row>
    <x:row r="22">
      <x:c r="A22" s="36" t="str">
        <x:v>Pietrelcina</x:v>
      </x:c>
      <x:c r="B22" s="36" t="n">
        <x:f>COUNTIF('Dati GIS'!$B$2:$B$60,A22)</x:f>
        <x:v>2</x:v>
      </x:c>
      <x:c r="C22" s="36" t="n">
        <x:f>COUNTIFS('Dati GIS'!$B$2:$B$60,A22,'Dati GIS'!$I$2:$I$60,"&lt;&gt;",'Dati GIS'!$J$2:$J$60,"&lt;&gt;")</x:f>
        <x:v>2</x:v>
      </x:c>
      <x:c r="D22" s="36" t="n">
        <x:f>COUNTIFS('Dati GIS'!$B$2:$B$60,A22,'Dati GIS'!$T$2:$T$60,"Coordinate ricavate dal link Google Maps riportato nel PDF")</x:f>
        <x:v>0</x:v>
      </x:c>
      <x:c r="E22" s="36" t="n">
        <x:f>B22-COUNTIFS('Dati GIS'!$B$2:$B$60,A22,'Dati GIS'!$O$2:$O$60,"&gt;0")</x:f>
        <x:v>0</x:v>
      </x:c>
      <x:c r="F22" s="36" t="n">
        <x:f>COUNTIFS('Dati GIS'!$B$2:$B$60,A22,'Dati GIS'!$P$2:$P$60,"N.D.")+COUNTIFS('Dati GIS'!$B$2:$B$60,A22,'Dati GIS'!$P$2:$P$60,"Data del controllo non disponibile")+COUNTIFS('Dati GIS'!$B$2:$B$60,A22,'Dati GIS'!$P$2:$P$60,"Non funzionante in quanto spaccato dal gelo")+COUNTIFS('Dati GIS'!$B$2:$B$60,A22,'Dati GIS'!$P$2:$P$60,"Nel campo controllo è riportata la dicitura 'Data di controllo e certificazione di efficienza del presidio', senza data")</x:f>
        <x:v>0</x:v>
      </x:c>
    </x:row>
    <x:row r="23">
      <x:c r="A23" s="36" t="str">
        <x:v>San Bartolomeo in Galdo</x:v>
      </x:c>
      <x:c r="B23" s="36" t="n">
        <x:f>COUNTIF('Dati GIS'!$B$2:$B$60,A23)</x:f>
        <x:v>3</x:v>
      </x:c>
      <x:c r="C23" s="36" t="n">
        <x:f>COUNTIFS('Dati GIS'!$B$2:$B$60,A23,'Dati GIS'!$I$2:$I$60,"&lt;&gt;",'Dati GIS'!$J$2:$J$60,"&lt;&gt;")</x:f>
        <x:v>3</x:v>
      </x:c>
      <x:c r="D23" s="36" t="n">
        <x:f>COUNTIFS('Dati GIS'!$B$2:$B$60,A23,'Dati GIS'!$T$2:$T$60,"Coordinate ricavate dal link Google Maps riportato nel PDF")</x:f>
        <x:v>3</x:v>
      </x:c>
      <x:c r="E23" s="36" t="n">
        <x:f>B23-COUNTIFS('Dati GIS'!$B$2:$B$60,A23,'Dati GIS'!$O$2:$O$60,"&gt;0")</x:f>
        <x:v>3</x:v>
      </x:c>
      <x:c r="F23" s="36" t="n">
        <x:f>COUNTIFS('Dati GIS'!$B$2:$B$60,A23,'Dati GIS'!$P$2:$P$60,"N.D.")+COUNTIFS('Dati GIS'!$B$2:$B$60,A23,'Dati GIS'!$P$2:$P$60,"Data del controllo non disponibile")+COUNTIFS('Dati GIS'!$B$2:$B$60,A23,'Dati GIS'!$P$2:$P$60,"Non funzionante in quanto spaccato dal gelo")+COUNTIFS('Dati GIS'!$B$2:$B$60,A23,'Dati GIS'!$P$2:$P$60,"Nel campo controllo è riportata la dicitura 'Data di controllo e certificazione di efficienza del presidio', senza data")</x:f>
        <x:v>2</x:v>
      </x:c>
    </x:row>
    <x:row r="24">
      <x:c r="A24" s="36" t="str">
        <x:v>Tocco Caudio</x:v>
      </x:c>
      <x:c r="B24" s="36" t="n">
        <x:f>COUNTIF('Dati GIS'!$B$2:$B$60,A24)</x:f>
        <x:v>3</x:v>
      </x:c>
      <x:c r="C24" s="36" t="n">
        <x:f>COUNTIFS('Dati GIS'!$B$2:$B$60,A24,'Dati GIS'!$I$2:$I$60,"&lt;&gt;",'Dati GIS'!$J$2:$J$60,"&lt;&gt;")</x:f>
        <x:v>3</x:v>
      </x:c>
      <x:c r="D24" s="36" t="n">
        <x:f>COUNTIFS('Dati GIS'!$B$2:$B$60,A24,'Dati GIS'!$T$2:$T$60,"Coordinate ricavate dal link Google Maps riportato nel PDF")</x:f>
        <x:v>0</x:v>
      </x:c>
      <x:c r="E24" s="36" t="n">
        <x:f>B24-COUNTIFS('Dati GIS'!$B$2:$B$60,A24,'Dati GIS'!$O$2:$O$60,"&gt;0")</x:f>
        <x:v>0</x:v>
      </x:c>
      <x:c r="F24" s="36" t="n">
        <x:f>COUNTIFS('Dati GIS'!$B$2:$B$60,A24,'Dati GIS'!$P$2:$P$60,"N.D.")+COUNTIFS('Dati GIS'!$B$2:$B$60,A24,'Dati GIS'!$P$2:$P$60,"Data del controllo non disponibile")+COUNTIFS('Dati GIS'!$B$2:$B$60,A24,'Dati GIS'!$P$2:$P$60,"Non funzionante in quanto spaccato dal gelo")+COUNTIFS('Dati GIS'!$B$2:$B$60,A24,'Dati GIS'!$P$2:$P$60,"Nel campo controllo è riportata la dicitura 'Data di controllo e certificazione di efficienza del presidio', senza data")</x:f>
        <x:v>0</x:v>
      </x:c>
    </x:row>
    <x:row r="25">
      <x:c r="A25" s="37" t="str">
        <x:v>Vitulano</x:v>
      </x:c>
      <x:c r="B25" s="37" t="n">
        <x:f>COUNTIF('Dati GIS'!$B$2:$B$60,A25)</x:f>
        <x:v>2</x:v>
      </x:c>
      <x:c r="C25" s="37" t="n">
        <x:f>COUNTIFS('Dati GIS'!$B$2:$B$60,A25,'Dati GIS'!$I$2:$I$60,"&lt;&gt;",'Dati GIS'!$J$2:$J$60,"&lt;&gt;")</x:f>
        <x:v>2</x:v>
      </x:c>
      <x:c r="D25" s="37" t="n">
        <x:f>COUNTIFS('Dati GIS'!$B$2:$B$60,A25,'Dati GIS'!$T$2:$T$60,"Coordinate ricavate dal link Google Maps riportato nel PDF")</x:f>
        <x:v>0</x:v>
      </x:c>
      <x:c r="E25" s="37" t="n">
        <x:f>B25-COUNTIFS('Dati GIS'!$B$2:$B$60,A25,'Dati GIS'!$O$2:$O$60,"&gt;0")</x:f>
        <x:v>2</x:v>
      </x:c>
      <x:c r="F25" s="37" t="n">
        <x:f>COUNTIFS('Dati GIS'!$B$2:$B$60,A25,'Dati GIS'!$P$2:$P$60,"N.D.")+COUNTIFS('Dati GIS'!$B$2:$B$60,A25,'Dati GIS'!$P$2:$P$60,"Data del controllo non disponibile")+COUNTIFS('Dati GIS'!$B$2:$B$60,A25,'Dati GIS'!$P$2:$P$60,"Non funzionante in quanto spaccato dal gelo")+COUNTIFS('Dati GIS'!$B$2:$B$60,A25,'Dati GIS'!$P$2:$P$60,"Nel campo controllo è riportata la dicitura 'Data di controllo e certificazione di efficienza del presidio', senza data")</x:f>
        <x:v>0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35d073345764c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0" hidden="0" customWidth="1"/>
    <x:col min="2" max="2" width="65" hidden="0" customWidth="1"/>
    <x:col min="3" max="3" width="14" hidden="0" customWidth="1"/>
    <x:col min="4" max="4" width="17" hidden="0" customWidth="1"/>
  </x:cols>
  <x:sheetData>
    <x:row r="1">
      <x:c r="A1" s="3" t="str">
        <x:v>file_fonte</x:v>
      </x:c>
      <x:c r="B1" s="3" t="str">
        <x:v>percorso_cartella</x:v>
      </x:c>
      <x:c r="C1" s="3" t="str">
        <x:v>pagine_pdf</x:v>
      </x:c>
      <x:c r="D1" s="3" t="str">
        <x:v>record_estratti</x:v>
      </x:c>
    </x:row>
    <x:row r="2">
      <x:c r="A2" s="38" t="str">
        <x:v>Presidi Antincendio aggiornati 2026 - Comune Guardia Sanframondi.pdf</x:v>
      </x:c>
      <x:c r="B2" s="38" t="str">
        <x:v>/Users/michelecaporale/Progetti Codex/Idranti AIB 2026/Elenco idranti AIB</x:v>
      </x:c>
      <x:c r="C2" t="n">
        <x:v>2</x:v>
      </x:c>
      <x:c r="D2" t="n">
        <x:v>2</x:v>
      </x:c>
    </x:row>
    <x:row r="3">
      <x:c r="A3" s="38" t="str">
        <x:v>Presidi Antincendio aggiornati 2026 - Comune di Bucciano.pdf</x:v>
      </x:c>
      <x:c r="B3" s="38" t="str">
        <x:v>/Users/michelecaporale/Progetti Codex/Idranti AIB 2026/Elenco idranti AIB</x:v>
      </x:c>
      <x:c r="C3" t="n">
        <x:v>2</x:v>
      </x:c>
      <x:c r="D3" t="n">
        <x:v>1</x:v>
      </x:c>
    </x:row>
    <x:row r="4">
      <x:c r="A4" s="38" t="str">
        <x:v>Presidi Antincendio aggiornati 2026 Comune di Colle Sannita.pdf</x:v>
      </x:c>
      <x:c r="B4" s="38" t="str">
        <x:v>/Users/michelecaporale/Progetti Codex/Idranti AIB 2026/Elenco idranti AIB</x:v>
      </x:c>
      <x:c r="C4" t="n">
        <x:v>6</x:v>
      </x:c>
      <x:c r="D4" t="n">
        <x:v>14</x:v>
      </x:c>
    </x:row>
    <x:row r="5">
      <x:c r="A5" s="38" t="str">
        <x:v>Presidi Antincendio aggiornati al 2026 - Comune di Apollosa.pdf</x:v>
      </x:c>
      <x:c r="B5" s="38" t="str">
        <x:v>/Users/michelecaporale/Progetti Codex/Idranti AIB 2026/Elenco idranti AIB</x:v>
      </x:c>
      <x:c r="C5" t="n">
        <x:v>6</x:v>
      </x:c>
      <x:c r="D5" t="n">
        <x:v>3</x:v>
      </x:c>
    </x:row>
    <x:row r="6">
      <x:c r="A6" s="38" t="str">
        <x:v>Presidi Antincendio aggiornati al 2026 - Comune di Bonea.pdf</x:v>
      </x:c>
      <x:c r="B6" s="38" t="str">
        <x:v>/Users/michelecaporale/Progetti Codex/Idranti AIB 2026/Elenco idranti AIB</x:v>
      </x:c>
      <x:c r="C6" t="n">
        <x:v>1</x:v>
      </x:c>
      <x:c r="D6" t="n">
        <x:v>2</x:v>
      </x:c>
    </x:row>
    <x:row r="7">
      <x:c r="A7" s="38" t="str">
        <x:v>Presidi Antincendio aggiornati al 2026 - Comune di Campolattaro.pdf</x:v>
      </x:c>
      <x:c r="B7" s="38" t="str">
        <x:v>/Users/michelecaporale/Progetti Codex/Idranti AIB 2026/Elenco idranti AIB</x:v>
      </x:c>
      <x:c r="C7" t="n">
        <x:v>1</x:v>
      </x:c>
      <x:c r="D7" t="n">
        <x:v>1</x:v>
      </x:c>
    </x:row>
    <x:row r="8">
      <x:c r="A8" s="38" t="str">
        <x:v>Presidi Antincendio aggiornati al 2026 - Comune di Campoli Monte Taburno.pdf</x:v>
      </x:c>
      <x:c r="B8" s="38" t="str">
        <x:v>/Users/michelecaporale/Progetti Codex/Idranti AIB 2026/Elenco idranti AIB</x:v>
      </x:c>
      <x:c r="C8" t="n">
        <x:v>1</x:v>
      </x:c>
      <x:c r="D8" t="n">
        <x:v>4</x:v>
      </x:c>
    </x:row>
    <x:row r="9">
      <x:c r="A9" s="38" t="str">
        <x:v>Presidi Antincendio aggiornati al 2026 - Comune di Casalduni.pdf</x:v>
      </x:c>
      <x:c r="B9" s="38" t="str">
        <x:v>/Users/michelecaporale/Progetti Codex/Idranti AIB 2026/Elenco idranti AIB</x:v>
      </x:c>
      <x:c r="C9" t="n">
        <x:v>2</x:v>
      </x:c>
      <x:c r="D9" t="n">
        <x:v>2</x:v>
      </x:c>
    </x:row>
    <x:row r="10">
      <x:c r="A10" s="38" t="str">
        <x:v>Presidi Antincendio aggiornati al 2026 - Comune di Cusano Mutri.pdf</x:v>
      </x:c>
      <x:c r="B10" s="38" t="str">
        <x:v>/Users/michelecaporale/Progetti Codex/Idranti AIB 2026/Elenco idranti AIB</x:v>
      </x:c>
      <x:c r="C10" t="n">
        <x:v>2</x:v>
      </x:c>
      <x:c r="D10" t="n">
        <x:v>3</x:v>
      </x:c>
    </x:row>
    <x:row r="11">
      <x:c r="A11" s="38" t="str">
        <x:v>Presidi Antincendio aggiornati al 2026 - Comune di Foiano Val Fortore.pdf</x:v>
      </x:c>
      <x:c r="B11" s="38" t="str">
        <x:v>/Users/michelecaporale/Progetti Codex/Idranti AIB 2026/Elenco idranti AIB</x:v>
      </x:c>
      <x:c r="C11" t="n">
        <x:v>6</x:v>
      </x:c>
      <x:c r="D11" t="n">
        <x:v>13</x:v>
      </x:c>
    </x:row>
    <x:row r="12">
      <x:c r="A12" s="38" t="str">
        <x:v>Presidi Antincendio aggiornati al 2026 - Comune di Forchia.pdf</x:v>
      </x:c>
      <x:c r="B12" s="38" t="str">
        <x:v>/Users/michelecaporale/Progetti Codex/Idranti AIB 2026/Elenco idranti AIB</x:v>
      </x:c>
      <x:c r="C12" t="n">
        <x:v>2</x:v>
      </x:c>
      <x:c r="D12" t="n">
        <x:v>1</x:v>
      </x:c>
    </x:row>
    <x:row r="13">
      <x:c r="A13" s="38" t="str">
        <x:v>Presidi Antincendio aggiornati al 2026 - Comune di Frasso Telesino.pdf</x:v>
      </x:c>
      <x:c r="B13" s="38" t="str">
        <x:v>/Users/michelecaporale/Progetti Codex/Idranti AIB 2026/Elenco idranti AIB</x:v>
      </x:c>
      <x:c r="C13" t="n">
        <x:v>1</x:v>
      </x:c>
      <x:c r="D13" t="n">
        <x:v>1</x:v>
      </x:c>
    </x:row>
    <x:row r="14">
      <x:c r="A14" s="38" t="str">
        <x:v>Presidi Antincendio aggiornati al 2026 - Comune di Melizzano.pdf</x:v>
      </x:c>
      <x:c r="B14" s="38" t="str">
        <x:v>/Users/michelecaporale/Progetti Codex/Idranti AIB 2026/Elenco idranti AIB</x:v>
      </x:c>
      <x:c r="C14" t="n">
        <x:v>1</x:v>
      </x:c>
      <x:c r="D14" t="n">
        <x:v>1</x:v>
      </x:c>
    </x:row>
    <x:row r="15">
      <x:c r="A15" s="38" t="str">
        <x:v>Presidi Antincendio aggiornati al 2026 - Comune di Paupisi.pdf</x:v>
      </x:c>
      <x:c r="B15" s="38" t="str">
        <x:v>/Users/michelecaporale/Progetti Codex/Idranti AIB 2026/Elenco idranti AIB</x:v>
      </x:c>
      <x:c r="C15" t="n">
        <x:v>1</x:v>
      </x:c>
      <x:c r="D15" t="n">
        <x:v>1</x:v>
      </x:c>
    </x:row>
    <x:row r="16">
      <x:c r="A16" s="38" t="str">
        <x:v>Presidi Antincendio aggiornati al 2026 - Comune di Pietrelcina.pdf</x:v>
      </x:c>
      <x:c r="B16" s="38" t="str">
        <x:v>/Users/michelecaporale/Progetti Codex/Idranti AIB 2026/Elenco idranti AIB</x:v>
      </x:c>
      <x:c r="C16" t="n">
        <x:v>2</x:v>
      </x:c>
      <x:c r="D16" t="n">
        <x:v>2</x:v>
      </x:c>
    </x:row>
    <x:row r="17">
      <x:c r="A17" s="38" t="str">
        <x:v>Presidi Antincendio aggiornati al 2026 - Comune di San Bartolomeo in Galdo.pdf</x:v>
      </x:c>
      <x:c r="B17" s="38" t="str">
        <x:v>/Users/michelecaporale/Progetti Codex/Idranti AIB 2026/Elenco idranti AIB</x:v>
      </x:c>
      <x:c r="C17" t="n">
        <x:v>3</x:v>
      </x:c>
      <x:c r="D17" t="n">
        <x:v>3</x:v>
      </x:c>
    </x:row>
    <x:row r="18">
      <x:c r="A18" s="38" t="str">
        <x:v>Presidi Antincendio aggiornati al 2026 - Comune di Tocco Caudio.pdf</x:v>
      </x:c>
      <x:c r="B18" s="38" t="str">
        <x:v>/Users/michelecaporale/Progetti Codex/Idranti AIB 2026/Elenco idranti AIB</x:v>
      </x:c>
      <x:c r="C18" t="n">
        <x:v>1</x:v>
      </x:c>
      <x:c r="D18" t="n">
        <x:v>3</x:v>
      </x:c>
    </x:row>
    <x:row r="19">
      <x:c r="A19" s="38" t="str">
        <x:v>Presidi Antincendo aggiornati al 2026 - Comune di Vitulano.pdf</x:v>
      </x:c>
      <x:c r="B19" s="38" t="str">
        <x:v>/Users/michelecaporale/Progetti Codex/Idranti AIB 2026/Elenco idranti AIB</x:v>
      </x:c>
      <x:c r="C19" t="n">
        <x:v>1</x:v>
      </x:c>
      <x:c r="D1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a27b56c4137241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42" hidden="0" customWidth="1"/>
    <x:col min="4" max="4" width="72" hidden="0" customWidth="1"/>
  </x:cols>
  <x:sheetData>
    <x:row r="1">
      <x:c r="A1" s="40" t="str">
        <x:v>Istruzioni per l'importazione GIS e note di qualità</x:v>
      </x:c>
      <x:c r="B1" s="40"/>
      <x:c r="C1" s="40"/>
      <x:c r="D1" s="40"/>
    </x:row>
    <x:row r="2">
      <x:c r="A2" s="43" t="str">
        <x:v>Voce</x:v>
      </x:c>
      <x:c r="B2" s="43" t="str">
        <x:v>Indicazione</x:v>
      </x:c>
      <x:c r="C2" s="43" t="str">
        <x:v>Campo/i</x:v>
      </x:c>
      <x:c r="D2" s="43" t="str">
        <x:v>Nota</x:v>
      </x:c>
    </x:row>
    <x:row r="3" ht="42" customHeight="1">
      <x:c r="A3" s="44" t="str">
        <x:v>Sistema di riferimento</x:v>
      </x:c>
      <x:c r="B3" s="44" t="str">
        <x:v>WGS84 / EPSG:4326</x:v>
      </x:c>
      <x:c r="C3" s="44" t="str">
        <x:v>latitudine_wgs84, longitudine_wgs84</x:v>
      </x:c>
      <x:c r="D3" s="44" t="str">
        <x:v>In QGIS usare X = longitudine_wgs84 e Y = latitudine_wgs84.</x:v>
      </x:c>
    </x:row>
    <x:row r="4" ht="42" customHeight="1">
      <x:c r="A4" s="44" t="str">
        <x:v>Separatore CSV</x:v>
      </x:c>
      <x:c r="B4" s="44" t="str">
        <x:v>Virgola, codifica UTF-8 con BOM</x:v>
      </x:c>
      <x:c r="C4" s="44" t="str">
        <x:v>tutti</x:v>
      </x:c>
      <x:c r="D4" s="44" t="str">
        <x:v>I decimali usano il punto; le date sono nel formato ISO yyyy-mm-dd.</x:v>
      </x:c>
    </x:row>
    <x:row r="5" ht="42" customHeight="1">
      <x:c r="A5" s="44" t="str">
        <x:v>Coordinate DMS</x:v>
      </x:c>
      <x:c r="B5" s="44" t="str">
        <x:v>Convertite in gradi decimali</x:v>
      </x:c>
      <x:c r="C5" s="44" t="str">
        <x:v>coordinate_originali, latitudine_wgs84, longitudine_wgs84</x:v>
      </x:c>
      <x:c r="D5" s="44" t="str">
        <x:v>Il valore originale è mantenuto per audit.</x:v>
      </x:c>
    </x:row>
    <x:row r="6" ht="42" customHeight="1">
      <x:c r="A6" s="44" t="str">
        <x:v>Link Google Maps</x:v>
      </x:c>
      <x:c r="B6" s="44" t="str">
        <x:v>Risolti per Foiano di Val Fortore e San Bartolomeo in Galdo</x:v>
      </x:c>
      <x:c r="C6" s="44" t="str">
        <x:v>link_google_maps, fonte_coordinate</x:v>
      </x:c>
      <x:c r="D6" s="44" t="str">
        <x:v>Le coordinate derivate sono marcate nella colonna fonte_coordinate.</x:v>
      </x:c>
    </x:row>
    <x:row r="7" ht="42" customHeight="1">
      <x:c r="A7" s="44" t="str">
        <x:v>Apollosa</x:v>
      </x:c>
      <x:c r="B7" s="44" t="str">
        <x:v>Tre record unici</x:v>
      </x:c>
      <x:c r="C7" s="44" t="str">
        <x:v>pagina_fonte</x:v>
      </x:c>
      <x:c r="D7" s="44" t="str">
        <x:v>Il modello alle pagine 1-2 e la lettera a pagina 3 descrivono gli stessi tre idranti; diametri e ubicazioni sono stati integrati senza duplicarli.</x:v>
      </x:c>
    </x:row>
    <x:row r="8" ht="42" customHeight="1">
      <x:c r="A8" s="44" t="str">
        <x:v>Valori '==='</x:v>
      </x:c>
      <x:c r="B8" s="44" t="str">
        <x:v>Interpretati come 'idem al precedente' quando il contesto del modello lo indica</x:v>
      </x:c>
      <x:c r="C8" s="44" t="str">
        <x:v>provvedimento_piano, note_estrazione</x:v>
      </x:c>
      <x:c r="D8" s="44" t="str">
        <x:v>L'interpretazione è esplicitata nella nota del record.</x:v>
      </x:c>
    </x:row>
    <x:row r="9" ht="42" customHeight="1">
      <x:c r="A9" s="44" t="str">
        <x:v>Campolattaro</x:v>
      </x:c>
      <x:c r="B9" s="44" t="str">
        <x:v>Data anomala conservata</x:v>
      </x:c>
      <x:c r="C9" s="44" t="str">
        <x:v>provvedimento_piano, note_estrazione</x:v>
      </x:c>
      <x:c r="D9" s="44" t="str">
        <x:v>Il PDF riporta 27/05/20213; nessuna correzione arbitraria è stata applicata.</x:v>
      </x:c>
    </x:row>
    <x:row r="10" ht="42" customHeight="1">
      <x:c r="A10" s="44" t="str">
        <x:v>Campi vuoti</x:v>
      </x:c>
      <x:c r="B10" s="44" t="str">
        <x:v>Dato non compilato nel PDF</x:v>
      </x:c>
      <x:c r="C10" s="44" t="str">
        <x:v>vari</x:v>
      </x:c>
      <x:c r="D10" s="44" t="str">
        <x:v>Non sono stati inventati contatti, date o tipologie mancanti.</x:v>
      </x:c>
    </x:row>
    <x:row r="11" ht="42" customHeight="1">
      <x:c r="A11" s="45" t="str">
        <x:v>Tracciabilità</x:v>
      </x:c>
      <x:c r="B11" s="45" t="str">
        <x:v>Ogni riga riporta file e pagina</x:v>
      </x:c>
      <x:c r="C11" s="45" t="str">
        <x:v>file_fonte, pagina_fonte</x:v>
      </x:c>
      <x:c r="D11" s="45" t="str">
        <x:v>Il foglio Fonti riepiloga tutti i 18 PDF esaminati.</x:v>
      </x:c>
    </x:row>
  </x:sheetData>
  <x:mergeCells>
    <x:mergeCell ref="A1:D1"/>
  </x:mergeCells>
  <x:pageMargins left="0.7" right="0.7" top="0.75" bottom="0.75" header="0.3" footer="0.3"/>
</x:worksheet>
</file>